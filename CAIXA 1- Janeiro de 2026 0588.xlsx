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X:\30 - Tributos\Planilha Manual - DIRF\2027 referente as 2026\DIRF 2026 Ajuda de Custo\01 - Janeiro\"/>
    </mc:Choice>
  </mc:AlternateContent>
  <bookViews>
    <workbookView xWindow="0" yWindow="0" windowWidth="20325" windowHeight="9735" tabRatio="992" activeTab="4"/>
  </bookViews>
  <sheets>
    <sheet name="ZN - 03.954.491 0001 - 06" sheetId="8" r:id="rId1"/>
    <sheet name="SP II - 18.865.112 0001 - 70" sheetId="7" r:id="rId2"/>
    <sheet name="SJC - 07.043.084 0001-90" sheetId="6" r:id="rId3"/>
    <sheet name="CM - 50.796.677 0001-56" sheetId="5" r:id="rId4"/>
    <sheet name="CENTRO - 17.706.901 0001-04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3" i="8" l="1"/>
  <c r="G53" i="8"/>
  <c r="H53" i="8"/>
  <c r="H24" i="4"/>
  <c r="F24" i="4"/>
  <c r="F20" i="5"/>
  <c r="H20" i="5"/>
  <c r="G20" i="5"/>
  <c r="G12" i="6"/>
  <c r="H12" i="6"/>
  <c r="F12" i="6"/>
  <c r="H81" i="7"/>
  <c r="F81" i="7"/>
  <c r="G81" i="7" l="1"/>
  <c r="G24" i="4"/>
</calcChain>
</file>

<file path=xl/sharedStrings.xml><?xml version="1.0" encoding="utf-8"?>
<sst xmlns="http://schemas.openxmlformats.org/spreadsheetml/2006/main" count="1531" uniqueCount="741">
  <si>
    <t>Localidade</t>
  </si>
  <si>
    <t>CNPJ</t>
  </si>
  <si>
    <t>Nome</t>
  </si>
  <si>
    <t>CPF</t>
  </si>
  <si>
    <t>Apuração</t>
  </si>
  <si>
    <t>Bruto</t>
  </si>
  <si>
    <t>IRRF</t>
  </si>
  <si>
    <t>Liquido</t>
  </si>
  <si>
    <t>Endereço</t>
  </si>
  <si>
    <t>CEP</t>
  </si>
  <si>
    <t>End. Nascimento</t>
  </si>
  <si>
    <t>Data Nascimento</t>
  </si>
  <si>
    <t>Estado Civil</t>
  </si>
  <si>
    <t>Grau Instrução</t>
  </si>
  <si>
    <t>Nome Dependente</t>
  </si>
  <si>
    <t>Nasc. Dependente</t>
  </si>
  <si>
    <t>CPF Dependente</t>
  </si>
  <si>
    <t>Parentesco</t>
  </si>
  <si>
    <t>Augusta</t>
  </si>
  <si>
    <t>17.706.901/0001-04</t>
  </si>
  <si>
    <t>Camille Souto Falcao</t>
  </si>
  <si>
    <t>039.321.626-84</t>
  </si>
  <si>
    <t>Rua Paracatu</t>
  </si>
  <si>
    <t>MG-Belo Horizonte</t>
  </si>
  <si>
    <t>Casada</t>
  </si>
  <si>
    <t>Ensino Médio Completo</t>
  </si>
  <si>
    <t>Samuel Falcão Damasceno</t>
  </si>
  <si>
    <t>548.211.038-93</t>
  </si>
  <si>
    <t>Filho</t>
  </si>
  <si>
    <t>Christiano Guimarães Damasceno</t>
  </si>
  <si>
    <t>029.279.826-19</t>
  </si>
  <si>
    <t>Casado</t>
  </si>
  <si>
    <t>Superior Completo</t>
  </si>
  <si>
    <t>São Caetano</t>
  </si>
  <si>
    <t>851.060.898-91</t>
  </si>
  <si>
    <t>Avenida Presidente Kennedy</t>
  </si>
  <si>
    <t>SP-Limeira</t>
  </si>
  <si>
    <t>Superior completo</t>
  </si>
  <si>
    <t>Tiago Sodré</t>
  </si>
  <si>
    <t>322.850.328-38</t>
  </si>
  <si>
    <t>Rua Almirante Marques de Leão</t>
  </si>
  <si>
    <t>SP-Osasco</t>
  </si>
  <si>
    <t>413.572.088-98</t>
  </si>
  <si>
    <t>Rua Taipas</t>
  </si>
  <si>
    <t>SP-São Paulo</t>
  </si>
  <si>
    <t>Solteiro</t>
  </si>
  <si>
    <t>Ensino médio</t>
  </si>
  <si>
    <t>453.043.308-03</t>
  </si>
  <si>
    <t>Rua Arujá</t>
  </si>
  <si>
    <t>355.885.018-10</t>
  </si>
  <si>
    <t>Benedito Sebastião de Faria</t>
  </si>
  <si>
    <t>Ensino médio completo</t>
  </si>
  <si>
    <t>Cidade Tiradentes</t>
  </si>
  <si>
    <t>323.024.508-33</t>
  </si>
  <si>
    <t>045.473.136-10</t>
  </si>
  <si>
    <t>Rua Doutor Delfim Moreira</t>
  </si>
  <si>
    <t>RUA PARACATU</t>
  </si>
  <si>
    <t>MG-Nova Lima</t>
  </si>
  <si>
    <t>Ensino Médio Incompleto</t>
  </si>
  <si>
    <t>503.000.458-08</t>
  </si>
  <si>
    <t>Rua José Dias Donadelli</t>
  </si>
  <si>
    <t>SP-Santo André</t>
  </si>
  <si>
    <t>Ensino superior</t>
  </si>
  <si>
    <t>Ellen Santiago Martins</t>
  </si>
  <si>
    <t>328.033.298-24</t>
  </si>
  <si>
    <t>Rua Luiz Gama</t>
  </si>
  <si>
    <t>2 grau completo</t>
  </si>
  <si>
    <t>313.852.608-07</t>
  </si>
  <si>
    <t>Avenida do Imperador</t>
  </si>
  <si>
    <t>Ensino superior completo</t>
  </si>
  <si>
    <t>393.263.448-94</t>
  </si>
  <si>
    <t>Rua Barrocas</t>
  </si>
  <si>
    <t>Ensino Médio</t>
  </si>
  <si>
    <t>Jonathan Oliveira Bento</t>
  </si>
  <si>
    <t>410.106.058-44</t>
  </si>
  <si>
    <t>Rua Tarira</t>
  </si>
  <si>
    <t>080.208.969-02</t>
  </si>
  <si>
    <t>Rua Barata Ribeiro</t>
  </si>
  <si>
    <t>PR-Foz do Iguaçu</t>
  </si>
  <si>
    <t>Médio completo</t>
  </si>
  <si>
    <t>Mirian Aparecida Conseição Fonseca</t>
  </si>
  <si>
    <t>013.241.316-75</t>
  </si>
  <si>
    <t>Taboão</t>
  </si>
  <si>
    <t>351.298.688-97</t>
  </si>
  <si>
    <t>RUA JOÃO GUILHERME</t>
  </si>
  <si>
    <t>Sarah Alarcon Costa Aristides</t>
  </si>
  <si>
    <t>373.623.908-40</t>
  </si>
  <si>
    <t>Rua João Guilherme</t>
  </si>
  <si>
    <t>Mairiporã</t>
  </si>
  <si>
    <t>310.645.278-17</t>
  </si>
  <si>
    <t>Rua Gercina Antonia da Silva</t>
  </si>
  <si>
    <t>SP-Taboão da Serra</t>
  </si>
  <si>
    <t>Rafael Diego Meloso</t>
  </si>
  <si>
    <t>365.242.838-21</t>
  </si>
  <si>
    <t>Rua José Maria Mamblona</t>
  </si>
  <si>
    <t>Jordanésia</t>
  </si>
  <si>
    <t>447.968.658-45</t>
  </si>
  <si>
    <t>Rua Das Cisalpinas</t>
  </si>
  <si>
    <t>BA-Paratinga</t>
  </si>
  <si>
    <t>Superior Incompleto</t>
  </si>
  <si>
    <t>Jundiai II</t>
  </si>
  <si>
    <t>50.796.677/0001-56</t>
  </si>
  <si>
    <t>Valdir Aparecido Ustulin</t>
  </si>
  <si>
    <t>089.577.618-96</t>
  </si>
  <si>
    <t>Rua João Orlandi</t>
  </si>
  <si>
    <t>SP-Capivari</t>
  </si>
  <si>
    <t>Luciana M Ustulin</t>
  </si>
  <si>
    <t>171.547.178-40</t>
  </si>
  <si>
    <t>SP-Americana</t>
  </si>
  <si>
    <t>Campinas II</t>
  </si>
  <si>
    <t>Lamara Figueiredo Vieira Breder Quaresma</t>
  </si>
  <si>
    <t>012.685.816-07</t>
  </si>
  <si>
    <t>Rua Honduras</t>
  </si>
  <si>
    <t>MANUELA BREDER QUARESMA</t>
  </si>
  <si>
    <t>570.952.108-61</t>
  </si>
  <si>
    <t>APOLO BREDER QUARESMA</t>
  </si>
  <si>
    <t>570.953.698-95</t>
  </si>
  <si>
    <t>819.969.932-91</t>
  </si>
  <si>
    <t>Rua professor Herculano Gouveia Junior</t>
  </si>
  <si>
    <t>PA-Belém do Pará</t>
  </si>
  <si>
    <t>080.589.233-89</t>
  </si>
  <si>
    <t>AV DOMICIANO PERINI NETO</t>
  </si>
  <si>
    <t>MA-ITAPECURUMIRIM</t>
  </si>
  <si>
    <t>SOLTEIRA</t>
  </si>
  <si>
    <t>2 GRAU</t>
  </si>
  <si>
    <t>083.557.606-03</t>
  </si>
  <si>
    <t>RUA FRANCISCO TAPAJÓS</t>
  </si>
  <si>
    <t>04153-001</t>
  </si>
  <si>
    <t>MG-MG</t>
  </si>
  <si>
    <t>092.969.086-98</t>
  </si>
  <si>
    <t>Rua Capão Bonito 403</t>
  </si>
  <si>
    <t>MG-BELO HORIZONTE</t>
  </si>
  <si>
    <t>2º grau completo</t>
  </si>
  <si>
    <t>071.969.426-47</t>
  </si>
  <si>
    <t>Capão Bonito 403 ,</t>
  </si>
  <si>
    <t>513.002.328-54</t>
  </si>
  <si>
    <t>RUA DA SOLIDARIEDADE,</t>
  </si>
  <si>
    <t>SP-campinas</t>
  </si>
  <si>
    <t>solteiro</t>
  </si>
  <si>
    <t>ensino medio completo</t>
  </si>
  <si>
    <t>Renata Carturan Tedesco Piffer</t>
  </si>
  <si>
    <t>271.787.058-09</t>
  </si>
  <si>
    <t>Rua Luis José de Souza</t>
  </si>
  <si>
    <t>SP-Piracaia</t>
  </si>
  <si>
    <t>064.377.946-90</t>
  </si>
  <si>
    <t>BA-Itapetinga</t>
  </si>
  <si>
    <t>casado</t>
  </si>
  <si>
    <t>100.358.656-28</t>
  </si>
  <si>
    <t>Av general Carneiro</t>
  </si>
  <si>
    <t>MG-Nova Resende</t>
  </si>
  <si>
    <t>561.003.238-50</t>
  </si>
  <si>
    <t>RUA BENEDITO DE OLIVEIRA,</t>
  </si>
  <si>
    <t>2° grau incompleto</t>
  </si>
  <si>
    <t>Gabriel Oliveira Duarte</t>
  </si>
  <si>
    <t>404.804.928-32</t>
  </si>
  <si>
    <t>Rua Olavo Bilac</t>
  </si>
  <si>
    <t>Milena passos Duarte</t>
  </si>
  <si>
    <t>570.903.618-88</t>
  </si>
  <si>
    <t>Filha</t>
  </si>
  <si>
    <t>392.014.548-80</t>
  </si>
  <si>
    <t>Rua Visconde Gomes Pinto,</t>
  </si>
  <si>
    <t>Grau superior - Biomédica</t>
  </si>
  <si>
    <t>Erasmo Coutinho Duarte</t>
  </si>
  <si>
    <t>738.908.046-91</t>
  </si>
  <si>
    <t>Rua rio grande</t>
  </si>
  <si>
    <t>MG-Caçamba</t>
  </si>
  <si>
    <t>3 grau</t>
  </si>
  <si>
    <t>007.477.569-37</t>
  </si>
  <si>
    <t>Rua Domingo Maciel Costa</t>
  </si>
  <si>
    <t>PR-Maringá</t>
  </si>
  <si>
    <t>Sophia Marques Gutierrez</t>
  </si>
  <si>
    <t>057.663.122-10</t>
  </si>
  <si>
    <t>Caçapava</t>
  </si>
  <si>
    <t>738.720.596-53</t>
  </si>
  <si>
    <t>Rua Marechal Deodoro</t>
  </si>
  <si>
    <t>MG-ITAJUBÁ</t>
  </si>
  <si>
    <t>CASADA</t>
  </si>
  <si>
    <t>SUPERIOR</t>
  </si>
  <si>
    <t>Clara dos Santos Correia</t>
  </si>
  <si>
    <t>5688675284/7</t>
  </si>
  <si>
    <t>FILHA</t>
  </si>
  <si>
    <t>São José dos Campos</t>
  </si>
  <si>
    <t>07.043.084/0001-90</t>
  </si>
  <si>
    <t>372.236.198-21</t>
  </si>
  <si>
    <t>Av ouro fino</t>
  </si>
  <si>
    <t>SP-São José dos Campos</t>
  </si>
  <si>
    <t>2 grau</t>
  </si>
  <si>
    <t>Marcos Aurélio Batista</t>
  </si>
  <si>
    <t>287.411.308-55</t>
  </si>
  <si>
    <t>Rua Ruth da Silva Santos</t>
  </si>
  <si>
    <t>779.310.686-53</t>
  </si>
  <si>
    <t>772.477.446-34</t>
  </si>
  <si>
    <t>Rua Rio Grande</t>
  </si>
  <si>
    <t>MG-Itabira</t>
  </si>
  <si>
    <t>406.275.708-79</t>
  </si>
  <si>
    <t>Rua Chile</t>
  </si>
  <si>
    <t>MG-ITAJUBA</t>
  </si>
  <si>
    <t>CASADO</t>
  </si>
  <si>
    <t>Luiz Fernando Godinho Correia</t>
  </si>
  <si>
    <t>471.524.196-04</t>
  </si>
  <si>
    <t>Rua Gonçalo Francisco de Camargo</t>
  </si>
  <si>
    <t>Adileia André Silva Bustamante</t>
  </si>
  <si>
    <t>146.518.436-89</t>
  </si>
  <si>
    <t>Avenida Vicente Brandão Ferreira</t>
  </si>
  <si>
    <t>Solteira</t>
  </si>
  <si>
    <t>159.433.838-83</t>
  </si>
  <si>
    <t>Rua veranopolis</t>
  </si>
  <si>
    <t>321.953.518-61</t>
  </si>
  <si>
    <t>Rua das piabas</t>
  </si>
  <si>
    <t>SP-SJC</t>
  </si>
  <si>
    <t>Limeira II</t>
  </si>
  <si>
    <t>Sonia Eliane Antunes</t>
  </si>
  <si>
    <t>154.829.678-32</t>
  </si>
  <si>
    <t>Rua Desembargador Júlio César da Silveira</t>
  </si>
  <si>
    <t>SP-LIMEIRA</t>
  </si>
  <si>
    <t>ENSINO FUNDAMENTAL INCOMPLETO</t>
  </si>
  <si>
    <t>Jaú II</t>
  </si>
  <si>
    <t>038.251.031-37</t>
  </si>
  <si>
    <t>Avenida João Franceschi</t>
  </si>
  <si>
    <t>PA-Jacundá</t>
  </si>
  <si>
    <t>Ibitinga II</t>
  </si>
  <si>
    <t>Mauro Jose Vidal</t>
  </si>
  <si>
    <t>039.310.638-10</t>
  </si>
  <si>
    <t>Rua Augusto Pinto da Costa</t>
  </si>
  <si>
    <t>SP-CEDRAL</t>
  </si>
  <si>
    <t>2 GRAU INCOMPLETO</t>
  </si>
  <si>
    <t>REBECA CAVALCANTE VIDAL</t>
  </si>
  <si>
    <t>426.970.308-32</t>
  </si>
  <si>
    <t>JÚLIA CAVALCANTE VIDAL</t>
  </si>
  <si>
    <t>427.275.268-57</t>
  </si>
  <si>
    <t>SBO - Zona Sul</t>
  </si>
  <si>
    <t>Antonio Juarez Pereira Junior</t>
  </si>
  <si>
    <t>119.264.178-79</t>
  </si>
  <si>
    <t>Rua Joaquim de Oliveira</t>
  </si>
  <si>
    <t>SP-Santa Barbara D Oeste</t>
  </si>
  <si>
    <t>São Carlos II</t>
  </si>
  <si>
    <t>André Luis Noviscki Corbanezi</t>
  </si>
  <si>
    <t>187.146.798-50</t>
  </si>
  <si>
    <t>Rua Sebastião de Moraes</t>
  </si>
  <si>
    <t>SP-Rio Claro</t>
  </si>
  <si>
    <t>Segundo grau completo</t>
  </si>
  <si>
    <t>Maria Ap Z Corbanezi</t>
  </si>
  <si>
    <t>Esposa</t>
  </si>
  <si>
    <t>Rebecca Corbanezi</t>
  </si>
  <si>
    <t>Campinas - Campos Elíseos -</t>
  </si>
  <si>
    <t>Maria Ap. Zabaglia Corbanezi</t>
  </si>
  <si>
    <t>148.160.968-84</t>
  </si>
  <si>
    <t>SP-Analândia</t>
  </si>
  <si>
    <t>Sede Interior</t>
  </si>
  <si>
    <t>18.865.112/0001-70</t>
  </si>
  <si>
    <t>281.091.868-66</t>
  </si>
  <si>
    <t>Avenida Mogi Guaçu</t>
  </si>
  <si>
    <t>SP-Campinas</t>
  </si>
  <si>
    <t>TÉCNICO</t>
  </si>
  <si>
    <t>SBO - Centro II</t>
  </si>
  <si>
    <t>111.911.618-03</t>
  </si>
  <si>
    <t>Avenida de Cilo</t>
  </si>
  <si>
    <t>SP-Presidente Prudente</t>
  </si>
  <si>
    <t>solteira</t>
  </si>
  <si>
    <t>075.725.208-71</t>
  </si>
  <si>
    <t>Rua Igara</t>
  </si>
  <si>
    <t>SP-São Jose do Rio Preto</t>
  </si>
  <si>
    <t>Viuva</t>
  </si>
  <si>
    <t>076.519.684-09</t>
  </si>
  <si>
    <t>Jacy teixeira de camargo</t>
  </si>
  <si>
    <t>Atilio Beraldo Neto</t>
  </si>
  <si>
    <t>715.886.478-20</t>
  </si>
  <si>
    <t>Rua Botucatu</t>
  </si>
  <si>
    <t>SP-SANTA BARBARA DOESTE</t>
  </si>
  <si>
    <t>SUPERIOR COMPLETO</t>
  </si>
  <si>
    <t>177.705.978-03</t>
  </si>
  <si>
    <t>SEGUNDO GRAU COMPLETO</t>
  </si>
  <si>
    <t>432.342.768-97</t>
  </si>
  <si>
    <t>AV. CILLOS</t>
  </si>
  <si>
    <t>110.201.779-50</t>
  </si>
  <si>
    <t>Celso Andrade</t>
  </si>
  <si>
    <t>SUPERIOR INCOMPLETO</t>
  </si>
  <si>
    <t>476.243.598-80</t>
  </si>
  <si>
    <t>José Bianchi</t>
  </si>
  <si>
    <t>Lençóis Paulista II</t>
  </si>
  <si>
    <t>095.844.638-53</t>
  </si>
  <si>
    <t>Rua Capitão Elias Francisco do Prado</t>
  </si>
  <si>
    <t>SP-Lençóis Paulista sp</t>
  </si>
  <si>
    <t>técnico contabilidade</t>
  </si>
  <si>
    <t>Ione Brisola Ruiz Pessano</t>
  </si>
  <si>
    <t>046.930.478-21</t>
  </si>
  <si>
    <t>Alameda Flamboyant</t>
  </si>
  <si>
    <t>SP-OSVALDO CRUZ</t>
  </si>
  <si>
    <t>Espírito Santo do Pinhal - (C.E)</t>
  </si>
  <si>
    <t>Letícia Moretto Bortoluci Sossai</t>
  </si>
  <si>
    <t>369.608.238-46</t>
  </si>
  <si>
    <t>Rua vereador Sebastião Mariano</t>
  </si>
  <si>
    <t>SP-Espírito Santo do Pinhal</t>
  </si>
  <si>
    <t>Daiane Carvalho Schuelze</t>
  </si>
  <si>
    <t>013.985.012-04</t>
  </si>
  <si>
    <t>Rua Jorge Luiz Milani</t>
  </si>
  <si>
    <t>RR-Boa Vista</t>
  </si>
  <si>
    <t>700.652.452-02</t>
  </si>
  <si>
    <t>Rua Carioba</t>
  </si>
  <si>
    <t>PR-CURITIBA</t>
  </si>
  <si>
    <t>Leonardo Barco</t>
  </si>
  <si>
    <t>333.931.068-80</t>
  </si>
  <si>
    <t>Avenida Doutor Heitor José Reali</t>
  </si>
  <si>
    <t>SP-São Carlos</t>
  </si>
  <si>
    <t>Segundo grau</t>
  </si>
  <si>
    <t>Cosmópolis II</t>
  </si>
  <si>
    <t>Daniel Cesar Xavier Dias</t>
  </si>
  <si>
    <t>604.484.406-44</t>
  </si>
  <si>
    <t>Santo rizzo</t>
  </si>
  <si>
    <t>MG-Guaxupé</t>
  </si>
  <si>
    <t>Analândia II</t>
  </si>
  <si>
    <t>319.222.508-48</t>
  </si>
  <si>
    <t>Av. Nicolau chicrala 397</t>
  </si>
  <si>
    <t>SP-são paulo</t>
  </si>
  <si>
    <t>superior completo</t>
  </si>
  <si>
    <t>Elaine Cristina Barbosa Dezo</t>
  </si>
  <si>
    <t>222.503.388-92</t>
  </si>
  <si>
    <t>Rua Ernesto Augusto Rogge</t>
  </si>
  <si>
    <t>358.823.908-18</t>
  </si>
  <si>
    <t>Rua Maestro José de Matos</t>
  </si>
  <si>
    <t>SP-Santa Bárbara DOeste</t>
  </si>
  <si>
    <t>ensino superior</t>
  </si>
  <si>
    <t>129.892.046-95</t>
  </si>
  <si>
    <t>Rua Santa Claudia</t>
  </si>
  <si>
    <t>GO-GOIÂNIA</t>
  </si>
  <si>
    <t>casada</t>
  </si>
  <si>
    <t>127.303.996-31</t>
  </si>
  <si>
    <t>Rua Alabama</t>
  </si>
  <si>
    <t>13.469-154</t>
  </si>
  <si>
    <t>Médio Completo</t>
  </si>
  <si>
    <t>Dean Ramos Malheiros</t>
  </si>
  <si>
    <t>574.251.162-00</t>
  </si>
  <si>
    <t>Rua José Lima</t>
  </si>
  <si>
    <t>AM-Manaus</t>
  </si>
  <si>
    <t>315.838.728-09</t>
  </si>
  <si>
    <t>Av. Alcídes Ortelan</t>
  </si>
  <si>
    <t>2 Grau</t>
  </si>
  <si>
    <t>Maria Gorete Heleodoro Garcia</t>
  </si>
  <si>
    <t>670.935.909-34</t>
  </si>
  <si>
    <t>Rua Duque de Caxias</t>
  </si>
  <si>
    <t>SC-Laguna</t>
  </si>
  <si>
    <t>Etelvino Luiz Garcia</t>
  </si>
  <si>
    <t>345.788.891-49</t>
  </si>
  <si>
    <t>RUA DUQUE DE CAXIAS</t>
  </si>
  <si>
    <t>PR-MARINGA</t>
  </si>
  <si>
    <t>316.576.258-93</t>
  </si>
  <si>
    <t>Rua Paulino Bertoldo</t>
  </si>
  <si>
    <t>Diógenes Wiezel</t>
  </si>
  <si>
    <t>204.349.528-34</t>
  </si>
  <si>
    <t>Rua Timbiras</t>
  </si>
  <si>
    <t>4º ano</t>
  </si>
  <si>
    <t>Antonia Elena Paiva Wiezel</t>
  </si>
  <si>
    <t>082.225.448-45</t>
  </si>
  <si>
    <t>SP-Santa Barbara dOeste</t>
  </si>
  <si>
    <t>3º ano</t>
  </si>
  <si>
    <t>023.412.342-75</t>
  </si>
  <si>
    <t>Rua Doutor Wanthuildes Irajaya Lobo</t>
  </si>
  <si>
    <t>PA-PARAUAPEBAS</t>
  </si>
  <si>
    <t>082.886.479-95</t>
  </si>
  <si>
    <t>RUA : ANGELO ORTOLAN</t>
  </si>
  <si>
    <t>PR-Umuarama</t>
  </si>
  <si>
    <t>pós graduado</t>
  </si>
  <si>
    <t>Edson Ricardo Estoque</t>
  </si>
  <si>
    <t>175.681.448-10</t>
  </si>
  <si>
    <t>Rua José Barros Penedo</t>
  </si>
  <si>
    <t>446.819.968-74</t>
  </si>
  <si>
    <t>AV. JOÃO STELLA</t>
  </si>
  <si>
    <t>SP-SÃO CARLOS</t>
  </si>
  <si>
    <t>SP</t>
  </si>
  <si>
    <t>123.820.718-93</t>
  </si>
  <si>
    <t>AUGUSTO PINTO DA COSTA</t>
  </si>
  <si>
    <t>SP-São Paulo Capital</t>
  </si>
  <si>
    <t>086.286.868-86</t>
  </si>
  <si>
    <t>Rua do centeio</t>
  </si>
  <si>
    <t>SP-Araçatuba</t>
  </si>
  <si>
    <t>112.561.156-14</t>
  </si>
  <si>
    <t>050.771.621-31</t>
  </si>
  <si>
    <t>MS-Dourados</t>
  </si>
  <si>
    <t>Vitória Maciel Rosa</t>
  </si>
  <si>
    <t>446.429.718-82</t>
  </si>
  <si>
    <t>Rua Argemiro Paccola</t>
  </si>
  <si>
    <t>SP-Lençóis Paulista</t>
  </si>
  <si>
    <t>Dracena II</t>
  </si>
  <si>
    <t>558.406.129-87</t>
  </si>
  <si>
    <t>Rua São Salvador</t>
  </si>
  <si>
    <t>SP-JUNQUEIRÓPOLIS</t>
  </si>
  <si>
    <t>Francisco Javier Torres Fernández</t>
  </si>
  <si>
    <t>704.774.982-99</t>
  </si>
  <si>
    <t>Rua Coronel Ferreira de Araújo</t>
  </si>
  <si>
    <t>AM-MANAUS</t>
  </si>
  <si>
    <t>LICENCIATURA</t>
  </si>
  <si>
    <t>Maydelline Dayana Boccia Paradas</t>
  </si>
  <si>
    <t>705.261.202-07</t>
  </si>
  <si>
    <t>Av. Prof. Nilton Lins</t>
  </si>
  <si>
    <t>AM-manaus</t>
  </si>
  <si>
    <t>705.509.542-52</t>
  </si>
  <si>
    <t>Rua Orquídea Fajus</t>
  </si>
  <si>
    <t>Gislaine Marques Silva Gutierrez</t>
  </si>
  <si>
    <t>037.715.879-80</t>
  </si>
  <si>
    <t>Avenida Professor Nilton Lins</t>
  </si>
  <si>
    <t>282.674.628-64</t>
  </si>
  <si>
    <t>Rua José Teixeira Porto</t>
  </si>
  <si>
    <t>998.740.321-20</t>
  </si>
  <si>
    <t>DF-Brasília</t>
  </si>
  <si>
    <t>Divorciada</t>
  </si>
  <si>
    <t>358.912.928-07</t>
  </si>
  <si>
    <t>Rua do milho</t>
  </si>
  <si>
    <t>pós graduada</t>
  </si>
  <si>
    <t>William Geraldo Cavalari Barbosa</t>
  </si>
  <si>
    <t>005.195.621-78</t>
  </si>
  <si>
    <t>MS-Campo Grande</t>
  </si>
  <si>
    <t>Piracicaba</t>
  </si>
  <si>
    <t>447.637.191-49</t>
  </si>
  <si>
    <t>Avenida Trinta e Um de Março</t>
  </si>
  <si>
    <t>MS-Nova Andradina</t>
  </si>
  <si>
    <t>Ensino Fundamental</t>
  </si>
  <si>
    <t>057.492.421-37</t>
  </si>
  <si>
    <t>Avenida 31 de Março</t>
  </si>
  <si>
    <t>PI-Teresina</t>
  </si>
  <si>
    <t>Ensino Superior Incompleto</t>
  </si>
  <si>
    <t>Nova Odessa II</t>
  </si>
  <si>
    <t>Giovanna Costa</t>
  </si>
  <si>
    <t>491.884.528-24</t>
  </si>
  <si>
    <t>Rua da Amizade</t>
  </si>
  <si>
    <t>SP-AMERICANA</t>
  </si>
  <si>
    <t>ENSINO SUPERIOR</t>
  </si>
  <si>
    <t>332.247.118-76</t>
  </si>
  <si>
    <t>Barueri</t>
  </si>
  <si>
    <t>227.244.488-12</t>
  </si>
  <si>
    <t>Rua do Milho</t>
  </si>
  <si>
    <t>609.626.231-72</t>
  </si>
  <si>
    <t>Avenida 31 de março</t>
  </si>
  <si>
    <t>MS-Corumbá</t>
  </si>
  <si>
    <t>Terceiro grau</t>
  </si>
  <si>
    <t>271.736.918-00</t>
  </si>
  <si>
    <t>Rua Martin Luther King</t>
  </si>
  <si>
    <t>376.531.718-77</t>
  </si>
  <si>
    <t>superior</t>
  </si>
  <si>
    <t>Felipe Vieira Gomes</t>
  </si>
  <si>
    <t>424.793.938-60</t>
  </si>
  <si>
    <t>Rua Engenheiro Jose Salles</t>
  </si>
  <si>
    <t>Superior incompleto</t>
  </si>
  <si>
    <t>Francisco Tomazoli</t>
  </si>
  <si>
    <t>973.273.796-49</t>
  </si>
  <si>
    <t>Rua Wagner Machado</t>
  </si>
  <si>
    <t>MG-Ouro Fino</t>
  </si>
  <si>
    <t>Mestre em Direito</t>
  </si>
  <si>
    <t>Simone Fernandes Prisco da Fonseca</t>
  </si>
  <si>
    <t>256.300.348-20</t>
  </si>
  <si>
    <t>Samela Prisco Fonseca</t>
  </si>
  <si>
    <t>147.613.896-64</t>
  </si>
  <si>
    <t>636.524.637-49</t>
  </si>
  <si>
    <t>Rua Mileto</t>
  </si>
  <si>
    <t>MS-Porto Murtinho</t>
  </si>
  <si>
    <t>646.127.831-15</t>
  </si>
  <si>
    <t>QR</t>
  </si>
  <si>
    <t>PB-São Geraldo do Araguaia</t>
  </si>
  <si>
    <t>Miguel Barbosa de Oliveira Blois</t>
  </si>
  <si>
    <t>055.840.301-80</t>
  </si>
  <si>
    <t>Jandira</t>
  </si>
  <si>
    <t>Robinson Caldatto Trindade</t>
  </si>
  <si>
    <t>206.014.008-01</t>
  </si>
  <si>
    <t>Alameda Cambuci</t>
  </si>
  <si>
    <t>Superior - Bacharel em Sistemas de Informação</t>
  </si>
  <si>
    <t>Ana Beatriz da Silva Trindade</t>
  </si>
  <si>
    <t>filha</t>
  </si>
  <si>
    <t>Maria Eduarda da Silva Trindade</t>
  </si>
  <si>
    <t>Raphaela da Silva Trindade</t>
  </si>
  <si>
    <t>Sandro Santi Quirino</t>
  </si>
  <si>
    <t>124.036.358-39</t>
  </si>
  <si>
    <t>Rua Maria Ondina</t>
  </si>
  <si>
    <t>cursando superior</t>
  </si>
  <si>
    <t>Zona Norte</t>
  </si>
  <si>
    <t>03.954.491/0001-06</t>
  </si>
  <si>
    <t>Marcia Rodrigues Ferreira</t>
  </si>
  <si>
    <t>163.862.818-10</t>
  </si>
  <si>
    <t>Rua Lopes de Oliveira</t>
  </si>
  <si>
    <t>SP-sao paulo</t>
  </si>
  <si>
    <t>ENSINO MÉDICO COMPLETO</t>
  </si>
  <si>
    <t>371.413.138-85</t>
  </si>
  <si>
    <t>Rua Manoel Alves dos Santos</t>
  </si>
  <si>
    <t>SP-Itapevi</t>
  </si>
  <si>
    <t>Pós graduação</t>
  </si>
  <si>
    <t>Santos</t>
  </si>
  <si>
    <t>018.107.308-05</t>
  </si>
  <si>
    <t>R.LeonorMendes de Barros</t>
  </si>
  <si>
    <t>SP-Santos</t>
  </si>
  <si>
    <t>Pos graduado</t>
  </si>
  <si>
    <t>Interlagos - SP</t>
  </si>
  <si>
    <t>155.369.758-89</t>
  </si>
  <si>
    <t>Rua Marinalvo Fernandes</t>
  </si>
  <si>
    <t>Superior</t>
  </si>
  <si>
    <t>579.323.361-04</t>
  </si>
  <si>
    <t>Rua Marivaldo Fernandes</t>
  </si>
  <si>
    <t>04792-060</t>
  </si>
  <si>
    <t>DF-Brasilia</t>
  </si>
  <si>
    <t>2º Grau Completo </t>
  </si>
  <si>
    <t>Morumbi - Sul</t>
  </si>
  <si>
    <t>Altamiro Ferreira Lopes</t>
  </si>
  <si>
    <t>992.466.945-20</t>
  </si>
  <si>
    <t>Rua Edmundo Amaral Valente</t>
  </si>
  <si>
    <t>BA-Amargosa</t>
  </si>
  <si>
    <t>Giovanna</t>
  </si>
  <si>
    <t>449.368.648-03</t>
  </si>
  <si>
    <t>382.498.738-40</t>
  </si>
  <si>
    <t>Rua Chico Gomes</t>
  </si>
  <si>
    <t>486.371.708-38</t>
  </si>
  <si>
    <t>SP-Diadema</t>
  </si>
  <si>
    <t>049.849.188-96</t>
  </si>
  <si>
    <t>R Leonor Mendes de Barros</t>
  </si>
  <si>
    <t>SP-Sao Paulo</t>
  </si>
  <si>
    <t>Tecnico</t>
  </si>
  <si>
    <t>Perdizes</t>
  </si>
  <si>
    <t>153.797.408-47</t>
  </si>
  <si>
    <t>Rua Joaquim Ferreira</t>
  </si>
  <si>
    <t>SP-SAO PAULO</t>
  </si>
  <si>
    <t>UNIVERSITÁRIA</t>
  </si>
  <si>
    <t>254.325.078-62</t>
  </si>
  <si>
    <t>Mario Roberto Saltini</t>
  </si>
  <si>
    <t>049.952.978-20</t>
  </si>
  <si>
    <t>Rua Joaquim Ferreira 147</t>
  </si>
  <si>
    <t>017.822.425-11</t>
  </si>
  <si>
    <t>Av senador Teotônio Vilela</t>
  </si>
  <si>
    <t>C. E - Alpha Aldeia</t>
  </si>
  <si>
    <t>Fernando Donizete Naves</t>
  </si>
  <si>
    <t>171.781.128-08</t>
  </si>
  <si>
    <t>Rua Antonio Tobias dos Reis</t>
  </si>
  <si>
    <t>segundo grau</t>
  </si>
  <si>
    <t>205.105.178-03</t>
  </si>
  <si>
    <t>066.843.484-84</t>
  </si>
  <si>
    <t>Rua coronel Mota</t>
  </si>
  <si>
    <t>Brodowski</t>
  </si>
  <si>
    <t>178.749.758-55</t>
  </si>
  <si>
    <t>RUA NATAL AGOSTINHO</t>
  </si>
  <si>
    <t>SP-Ribeirao Preto</t>
  </si>
  <si>
    <t>2 Grau Completo</t>
  </si>
  <si>
    <t>Mooca - (C.E)</t>
  </si>
  <si>
    <t>Diego Allan Kort</t>
  </si>
  <si>
    <t>351.411.228-24</t>
  </si>
  <si>
    <t>Rua Dr Fabrício Vampré</t>
  </si>
  <si>
    <t>354.563.408-60</t>
  </si>
  <si>
    <t>Rua Apeninos</t>
  </si>
  <si>
    <t>103.496.584-04</t>
  </si>
  <si>
    <t>rua cuiaba</t>
  </si>
  <si>
    <t>RN-natal</t>
  </si>
  <si>
    <t>Ribeirão Preto - Parque Ribeirão</t>
  </si>
  <si>
    <t>Aline Elisiário Popolin</t>
  </si>
  <si>
    <t>225.917.648-83</t>
  </si>
  <si>
    <t>Rua VALERIANO REIS</t>
  </si>
  <si>
    <t>SP-RIBEIRÃO PRETO</t>
  </si>
  <si>
    <t>Bruno Murilo Barreto</t>
  </si>
  <si>
    <t>424.347.758-29</t>
  </si>
  <si>
    <t>Rua Viegas Xortes</t>
  </si>
  <si>
    <t>Ensino Medio</t>
  </si>
  <si>
    <t>Rebecca Rodrigues Ferreira Pedroza</t>
  </si>
  <si>
    <t>427.352.198-95</t>
  </si>
  <si>
    <t>Rua: Jaupaci</t>
  </si>
  <si>
    <t>02318-150</t>
  </si>
  <si>
    <t>509.599.448-85</t>
  </si>
  <si>
    <t>Rua voluntários da pátria</t>
  </si>
  <si>
    <t>Volnei Filho Batista</t>
  </si>
  <si>
    <t>836.873.511-49</t>
  </si>
  <si>
    <t>Rua conchila</t>
  </si>
  <si>
    <t>GO-Pontalina</t>
  </si>
  <si>
    <t>Nível médio completo</t>
  </si>
  <si>
    <t>Luciana Lemos Batista</t>
  </si>
  <si>
    <t>003.744.591-00</t>
  </si>
  <si>
    <t>Leonardo Fagundes Nascimento</t>
  </si>
  <si>
    <t>543.233.028-86</t>
  </si>
  <si>
    <t>Rua Cipolandia</t>
  </si>
  <si>
    <t>Ensino Medio Completo</t>
  </si>
  <si>
    <t>São José do Rio Preto</t>
  </si>
  <si>
    <t>Graziela Fernandes Prisco Ribeiro</t>
  </si>
  <si>
    <t>264.805.838-92</t>
  </si>
  <si>
    <t>Avenida Waldomiro Daud</t>
  </si>
  <si>
    <t>SP-Ribeirão Preto</t>
  </si>
  <si>
    <t>Ensino medio</t>
  </si>
  <si>
    <t>Cravinhos</t>
  </si>
  <si>
    <t>Ana Carolina Fogarollo Lepore Penteado</t>
  </si>
  <si>
    <t>150.755.718-32</t>
  </si>
  <si>
    <t>Rua Domingos Vitaliano</t>
  </si>
  <si>
    <t>Moema</t>
  </si>
  <si>
    <t>028.897.298-85</t>
  </si>
  <si>
    <t>RUA DR ASSIS DE MOURA</t>
  </si>
  <si>
    <t>Rua Conchilia</t>
  </si>
  <si>
    <t>GO-CERES</t>
  </si>
  <si>
    <t>ENSINO SUPERIOR COMPLETO</t>
  </si>
  <si>
    <t>332.237.498-02</t>
  </si>
  <si>
    <t>Rua João Viega Cortez</t>
  </si>
  <si>
    <t>269.810.018-45</t>
  </si>
  <si>
    <t>Rua das Imbuias</t>
  </si>
  <si>
    <t>7 série</t>
  </si>
  <si>
    <t>189.752.868-00</t>
  </si>
  <si>
    <t>Dema Zitto</t>
  </si>
  <si>
    <t>PR-Ivaiporã</t>
  </si>
  <si>
    <t>2° Grau Completo</t>
  </si>
  <si>
    <t>Jardim São Luis - (C.E)</t>
  </si>
  <si>
    <t>322.128.558-26</t>
  </si>
  <si>
    <t>Rua Paulo Lemore</t>
  </si>
  <si>
    <t>ensino fundamental</t>
  </si>
  <si>
    <t>215.787.118-78</t>
  </si>
  <si>
    <t>Rua Valeriano Reis</t>
  </si>
  <si>
    <t>Pindaúba</t>
  </si>
  <si>
    <t>057.886.288-30</t>
  </si>
  <si>
    <t>Dracena</t>
  </si>
  <si>
    <t>SP-Pariquera-Açu</t>
  </si>
  <si>
    <t>Juliana Gomes</t>
  </si>
  <si>
    <t>189.656.198-58</t>
  </si>
  <si>
    <t>Rua Victor Balaguer</t>
  </si>
  <si>
    <t>04831-070</t>
  </si>
  <si>
    <t>Superior Cursando</t>
  </si>
  <si>
    <t>Paraisópolis ( C.E )</t>
  </si>
  <si>
    <t>165.867.598-38</t>
  </si>
  <si>
    <t>Rua Antônio Júlio dos Santos</t>
  </si>
  <si>
    <t>Cidade Ademar</t>
  </si>
  <si>
    <t>Marcia Maria Do Nascimento Gouveia Silva</t>
  </si>
  <si>
    <t>188.563.168-54</t>
  </si>
  <si>
    <t>Rua Augusto Rolim loureiro</t>
  </si>
  <si>
    <t>PE-Joaquim Nabuco</t>
  </si>
  <si>
    <t>Amparo - Centro</t>
  </si>
  <si>
    <t>355.637.038-78</t>
  </si>
  <si>
    <t>Alameda das Jaboticabas</t>
  </si>
  <si>
    <t>SP-Jacareí</t>
  </si>
  <si>
    <t>Silvia Fernanda Nicoletti Vianna</t>
  </si>
  <si>
    <t>251.203.928-57</t>
  </si>
  <si>
    <t>Rua Natal Agostinho</t>
  </si>
  <si>
    <t>SP-Rio Claro- SP</t>
  </si>
  <si>
    <t>2 Grau completo</t>
  </si>
  <si>
    <t>Andre Luiz Moreira Souza</t>
  </si>
  <si>
    <t>111.127.248-42</t>
  </si>
  <si>
    <t>Avenida Zumkeller</t>
  </si>
  <si>
    <t>Técnico Logística</t>
  </si>
  <si>
    <t>Guarulhos</t>
  </si>
  <si>
    <t>Cleber Eduardo Affonso</t>
  </si>
  <si>
    <t>114.294.638-05</t>
  </si>
  <si>
    <t>Rua Miguel Vieira Ferreira</t>
  </si>
  <si>
    <t>005.988.475-45</t>
  </si>
  <si>
    <t>Rua Gerônimo Pedroso Barros</t>
  </si>
  <si>
    <t>Marcos Vinicius Silva Lima</t>
  </si>
  <si>
    <t>500.697.878-32</t>
  </si>
  <si>
    <t>Estrada do lago</t>
  </si>
  <si>
    <t>312.326.631-15</t>
  </si>
  <si>
    <t>RJ-Rio de Janeiro</t>
  </si>
  <si>
    <t>Michele Conceição De Souza</t>
  </si>
  <si>
    <t>Marcos Pinto De Souza</t>
  </si>
  <si>
    <t>Daisi Sena Neias De Carvalho</t>
  </si>
  <si>
    <t>Alex Néias De Carvalho</t>
  </si>
  <si>
    <t>Alice De Sa</t>
  </si>
  <si>
    <t>Davi Sena Neias De Carvalho</t>
  </si>
  <si>
    <t>Nydia Oliveira Barros De Souza</t>
  </si>
  <si>
    <t>Daniela Paula Masella</t>
  </si>
  <si>
    <t>Fabiana De Lucio Lopes</t>
  </si>
  <si>
    <t>Adenilson Cassemiro Dos Santos</t>
  </si>
  <si>
    <t>Patricia Dos Santos Silva Naves</t>
  </si>
  <si>
    <t>Hugo César Villar De Jesus</t>
  </si>
  <si>
    <t>Philipi Angelini Pinel</t>
  </si>
  <si>
    <t>Raul Marcel Vianna</t>
  </si>
  <si>
    <t>Ursula Estefam Alencar Kort</t>
  </si>
  <si>
    <t>Larissa Guedes Bezerra</t>
  </si>
  <si>
    <t>Daniel Juan Sanchez De Jesus</t>
  </si>
  <si>
    <t>André Luiz De Queiroz Boriero</t>
  </si>
  <si>
    <t>Romualdo Laurentino Da Silva</t>
  </si>
  <si>
    <t>Edmilson José Dos Santos</t>
  </si>
  <si>
    <t>Cezar Junior De Freitas</t>
  </si>
  <si>
    <t>Wellington Camargo Da Paixao</t>
  </si>
  <si>
    <t>Jean Carlos Popolin</t>
  </si>
  <si>
    <t>Fernando Antonio De Lima</t>
  </si>
  <si>
    <t>Ricardo Almeida De Moraes</t>
  </si>
  <si>
    <t>Sarah De Oliveira Silva Dos Santos</t>
  </si>
  <si>
    <t>Cristiano Peixoto Da Silva</t>
  </si>
  <si>
    <t>Maria Gisela Sanches De Jesus</t>
  </si>
  <si>
    <t>Amanda De Souza Pereira Barbosa</t>
  </si>
  <si>
    <t>Ana Paula Toledo Da Silva</t>
  </si>
  <si>
    <t>Zilda Correia De Melo</t>
  </si>
  <si>
    <t>Juraci Santa Garcia Rossi</t>
  </si>
  <si>
    <t>Maria De Fatima Soares Andrade</t>
  </si>
  <si>
    <t>Aparecida De Fátima Paspardeli Beraldo</t>
  </si>
  <si>
    <t>Wesley Jose Da Costa</t>
  </si>
  <si>
    <t>Manoel Vitor Daudt De Santana</t>
  </si>
  <si>
    <t>Beatriz Hoffmann De Santana Souza</t>
  </si>
  <si>
    <t>Antonio Oliveira Da Silva</t>
  </si>
  <si>
    <t>Isabelly Guilherme Gomes</t>
  </si>
  <si>
    <t>Raphael Lemos De Almeida</t>
  </si>
  <si>
    <t>Joao Rodrigo Da Costa</t>
  </si>
  <si>
    <t>Lorena Vitória Dos Santos Silva</t>
  </si>
  <si>
    <t>Pablo Rangel Dos Santos Ferreira</t>
  </si>
  <si>
    <t>Andre Luis Da Silva</t>
  </si>
  <si>
    <t>Michelle Da Silva Becatti</t>
  </si>
  <si>
    <t>Raylson Moura Ribeiro</t>
  </si>
  <si>
    <t>Gustavo André Sinhorini</t>
  </si>
  <si>
    <t>Milena Dayana Coutinho Reco Zabaglia</t>
  </si>
  <si>
    <t>Luciane Cavalcante Da Silva</t>
  </si>
  <si>
    <t>José Inocêncio Da Silva</t>
  </si>
  <si>
    <t>Marlon Bruno Rodrigues Viana</t>
  </si>
  <si>
    <t>Karoliny Guilherme Gomes</t>
  </si>
  <si>
    <t>Celina Tieko Shioji Omoto</t>
  </si>
  <si>
    <t>Juan Carlos De Abreu</t>
  </si>
  <si>
    <t>Fabio Rodrigo Pastre Da Silva</t>
  </si>
  <si>
    <t>Rubia Ester De Araújo Pimentel</t>
  </si>
  <si>
    <t>Juliana Boschiero Dos Santos</t>
  </si>
  <si>
    <t>Joaquim De Souza Pereira</t>
  </si>
  <si>
    <t>Ranielle Ravena De Sousa Mota</t>
  </si>
  <si>
    <t>Rodrigo De Jesus Gutierrez</t>
  </si>
  <si>
    <t>Alessandra De Fátima Bicego</t>
  </si>
  <si>
    <t>Roberto Sales Dos Santos</t>
  </si>
  <si>
    <t>Beatriz Flores Da Silva</t>
  </si>
  <si>
    <t>Luciano João De Lima</t>
  </si>
  <si>
    <t>Lais Regina Rossi Dos Santos</t>
  </si>
  <si>
    <t>Saulo Quaresma De Carvalho</t>
  </si>
  <si>
    <t>Maurício Da Silva Oliveira Blois</t>
  </si>
  <si>
    <t>Leticia Maria Dos Santos Correia</t>
  </si>
  <si>
    <t>Maiara De Jesus Monteiro Araujo</t>
  </si>
  <si>
    <t>Luiz Fernando Monteiro</t>
  </si>
  <si>
    <t>Claudia Helena Machado De Oliveira Duarte</t>
  </si>
  <si>
    <t>Hugo Dos Santos Correia</t>
  </si>
  <si>
    <t>Rosana Aparecida De Moraes</t>
  </si>
  <si>
    <t>Filipe Ismael Da Costa Machado</t>
  </si>
  <si>
    <t>Wilen Passos Cabral</t>
  </si>
  <si>
    <t>Marcia Cristina Dos Anjos</t>
  </si>
  <si>
    <t>Jean Araujo Papafanurakis</t>
  </si>
  <si>
    <t>Carlos Drummonde De Andrade</t>
  </si>
  <si>
    <t>Veronica Cristina Nuvem De Andrade</t>
  </si>
  <si>
    <t>Iago Matheus José Dos Santos</t>
  </si>
  <si>
    <t>Franciele Aline Da Silva Moreira</t>
  </si>
  <si>
    <t>Arthur Bonzanino Lopes</t>
  </si>
  <si>
    <t>Deise Dos Santos Monteiro Felipe</t>
  </si>
  <si>
    <t>Reinaldo Alberto Pessano</t>
  </si>
  <si>
    <t>William Santos De Oliveira</t>
  </si>
  <si>
    <t>Gabriel De Paiva Lima</t>
  </si>
  <si>
    <t>Agata Lopes Barbieri</t>
  </si>
  <si>
    <t>Patrícia Alves De Araújo Leite</t>
  </si>
  <si>
    <t>Claudeir Vergílio De Souza</t>
  </si>
  <si>
    <t>Renildo De Lira Castro</t>
  </si>
  <si>
    <t>Robson De Oliveira Paulino</t>
  </si>
  <si>
    <t>Anderson Lodgero Rodrigues De Souza</t>
  </si>
  <si>
    <t>Carlos Eduardo Siqueira Da Silva</t>
  </si>
  <si>
    <t>Tiago Aristides Rodrigues</t>
  </si>
  <si>
    <t>Cristiano Do Carmo De Toledo</t>
  </si>
  <si>
    <t>Débora Moraes Lombardi De Oliveira</t>
  </si>
  <si>
    <t>Evento Regional</t>
  </si>
  <si>
    <t xml:space="preserve"> Evento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</si>
</sst>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17" fontId="3" fillId="0" borderId="1" xfId="0" applyNumberFormat="1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44" fontId="2" fillId="2" borderId="1" xfId="1" applyFont="1" applyFill="1" applyBorder="1" applyAlignment="1">
      <alignment horizontal="center"/>
    </xf>
    <xf numFmtId="44" fontId="3" fillId="0" borderId="1" xfId="1" applyFont="1" applyBorder="1" applyAlignment="1"/>
    <xf numFmtId="44" fontId="3" fillId="0" borderId="6" xfId="1" applyFont="1" applyBorder="1" applyAlignment="1"/>
    <xf numFmtId="44" fontId="3" fillId="0" borderId="0" xfId="1" applyFont="1" applyAlignment="1"/>
    <xf numFmtId="43" fontId="3" fillId="0" borderId="1" xfId="2" applyFont="1" applyBorder="1"/>
    <xf numFmtId="43" fontId="2" fillId="2" borderId="1" xfId="2" applyFont="1" applyFill="1" applyBorder="1" applyAlignment="1">
      <alignment horizontal="center"/>
    </xf>
    <xf numFmtId="43" fontId="3" fillId="0" borderId="8" xfId="2" applyFont="1" applyBorder="1"/>
    <xf numFmtId="43" fontId="4" fillId="0" borderId="11" xfId="2" applyFont="1" applyBorder="1"/>
    <xf numFmtId="43" fontId="3" fillId="0" borderId="0" xfId="2" applyFont="1"/>
    <xf numFmtId="43" fontId="3" fillId="0" borderId="1" xfId="2" applyFont="1" applyBorder="1" applyAlignment="1"/>
    <xf numFmtId="43" fontId="3" fillId="0" borderId="8" xfId="2" applyFont="1" applyBorder="1" applyAlignment="1"/>
    <xf numFmtId="43" fontId="4" fillId="0" borderId="11" xfId="2" applyFont="1" applyBorder="1" applyAlignment="1"/>
    <xf numFmtId="43" fontId="3" fillId="0" borderId="0" xfId="2" applyFont="1" applyAlignment="1"/>
    <xf numFmtId="14" fontId="3" fillId="0" borderId="8" xfId="0" applyNumberFormat="1" applyFont="1" applyBorder="1"/>
    <xf numFmtId="14" fontId="3" fillId="0" borderId="10" xfId="0" applyNumberFormat="1" applyFont="1" applyBorder="1"/>
    <xf numFmtId="14" fontId="3" fillId="0" borderId="9" xfId="0" applyNumberFormat="1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9" xfId="0" applyFont="1" applyBorder="1"/>
    <xf numFmtId="17" fontId="3" fillId="0" borderId="8" xfId="0" applyNumberFormat="1" applyFont="1" applyBorder="1"/>
    <xf numFmtId="17" fontId="3" fillId="0" borderId="10" xfId="0" applyNumberFormat="1" applyFont="1" applyBorder="1"/>
    <xf numFmtId="17" fontId="3" fillId="0" borderId="9" xfId="0" applyNumberFormat="1" applyFont="1" applyBorder="1"/>
    <xf numFmtId="43" fontId="3" fillId="0" borderId="8" xfId="2" applyFont="1" applyBorder="1"/>
    <xf numFmtId="43" fontId="3" fillId="0" borderId="10" xfId="2" applyFont="1" applyBorder="1"/>
    <xf numFmtId="43" fontId="3" fillId="0" borderId="9" xfId="2" applyFont="1" applyBorder="1"/>
    <xf numFmtId="43" fontId="3" fillId="0" borderId="8" xfId="2" applyFont="1" applyBorder="1" applyAlignment="1"/>
    <xf numFmtId="43" fontId="3" fillId="0" borderId="10" xfId="2" applyFont="1" applyBorder="1" applyAlignment="1"/>
    <xf numFmtId="43" fontId="3" fillId="0" borderId="9" xfId="2" applyFont="1" applyBorder="1" applyAlignment="1"/>
    <xf numFmtId="44" fontId="3" fillId="0" borderId="8" xfId="1" applyFont="1" applyBorder="1" applyAlignment="1"/>
    <xf numFmtId="44" fontId="3" fillId="0" borderId="10" xfId="1" applyFont="1" applyBorder="1" applyAlignment="1"/>
    <xf numFmtId="44" fontId="3" fillId="0" borderId="9" xfId="1" applyFont="1" applyBorder="1" applyAlignme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9" fontId="3" fillId="0" borderId="1" xfId="0" applyNumberFormat="1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S53"/>
  <sheetViews>
    <sheetView showGridLines="0" workbookViewId="0">
      <selection activeCell="B45" sqref="B45:C45"/>
    </sheetView>
  </sheetViews>
  <sheetFormatPr defaultRowHeight="14.25"/>
  <cols>
    <col min="1" max="1" width="31.140625" style="6" bestFit="1" customWidth="1"/>
    <col min="2" max="2" width="19.85546875" style="6" bestFit="1" customWidth="1"/>
    <col min="3" max="3" width="42.140625" style="6" bestFit="1" customWidth="1"/>
    <col min="4" max="4" width="15.5703125" style="6" bestFit="1" customWidth="1"/>
    <col min="5" max="5" width="10.42578125" style="6" bestFit="1" customWidth="1"/>
    <col min="6" max="6" width="16.28515625" style="21" bestFit="1" customWidth="1"/>
    <col min="7" max="7" width="15.140625" style="25" bestFit="1" customWidth="1"/>
    <col min="8" max="8" width="17.85546875" style="25" bestFit="1" customWidth="1"/>
    <col min="9" max="9" width="29.28515625" style="16" bestFit="1" customWidth="1"/>
    <col min="10" max="10" width="10.85546875" style="6" bestFit="1" customWidth="1"/>
    <col min="11" max="11" width="20.140625" style="6" bestFit="1" customWidth="1"/>
    <col min="12" max="12" width="18.140625" style="6" bestFit="1" customWidth="1"/>
    <col min="13" max="13" width="12.5703125" style="6" bestFit="1" customWidth="1"/>
    <col min="14" max="14" width="46" style="6" bestFit="1" customWidth="1"/>
    <col min="15" max="15" width="31" style="6" bestFit="1" customWidth="1"/>
    <col min="16" max="16" width="19.28515625" style="6" bestFit="1" customWidth="1"/>
    <col min="17" max="17" width="17.7109375" style="6" bestFit="1" customWidth="1"/>
    <col min="18" max="18" width="12.140625" style="6" bestFit="1" customWidth="1"/>
    <col min="19" max="19" width="2.140625" style="6" bestFit="1" customWidth="1"/>
    <col min="20" max="16384" width="9.140625" style="6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8" t="s">
        <v>6</v>
      </c>
      <c r="H1" s="18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5"/>
    </row>
    <row r="2" spans="1:19">
      <c r="A2" s="29" t="s">
        <v>459</v>
      </c>
      <c r="B2" s="29" t="s">
        <v>473</v>
      </c>
      <c r="C2" s="29" t="s">
        <v>460</v>
      </c>
      <c r="D2" s="29" t="s">
        <v>461</v>
      </c>
      <c r="E2" s="32">
        <v>46023</v>
      </c>
      <c r="F2" s="35">
        <v>2300</v>
      </c>
      <c r="G2" s="38">
        <v>0</v>
      </c>
      <c r="H2" s="38">
        <v>2300</v>
      </c>
      <c r="I2" s="41" t="s">
        <v>462</v>
      </c>
      <c r="J2" s="29">
        <v>6642480</v>
      </c>
      <c r="K2" s="29" t="s">
        <v>41</v>
      </c>
      <c r="L2" s="26">
        <v>27224</v>
      </c>
      <c r="M2" s="29" t="s">
        <v>146</v>
      </c>
      <c r="N2" s="29" t="s">
        <v>463</v>
      </c>
      <c r="O2" s="7" t="s">
        <v>464</v>
      </c>
      <c r="P2" s="8">
        <v>36735</v>
      </c>
      <c r="Q2" s="7">
        <v>47698096890</v>
      </c>
      <c r="R2" s="7" t="s">
        <v>465</v>
      </c>
      <c r="S2" s="29">
        <v>3</v>
      </c>
    </row>
    <row r="3" spans="1:19">
      <c r="A3" s="30"/>
      <c r="B3" s="30"/>
      <c r="C3" s="30"/>
      <c r="D3" s="30"/>
      <c r="E3" s="33"/>
      <c r="F3" s="36"/>
      <c r="G3" s="39"/>
      <c r="H3" s="39"/>
      <c r="I3" s="42"/>
      <c r="J3" s="30"/>
      <c r="K3" s="30"/>
      <c r="L3" s="27"/>
      <c r="M3" s="30"/>
      <c r="N3" s="30"/>
      <c r="O3" s="7" t="s">
        <v>466</v>
      </c>
      <c r="P3" s="8">
        <v>36735</v>
      </c>
      <c r="Q3" s="7">
        <v>47698177890</v>
      </c>
      <c r="R3" s="7" t="s">
        <v>465</v>
      </c>
      <c r="S3" s="30"/>
    </row>
    <row r="4" spans="1:19">
      <c r="A4" s="31"/>
      <c r="B4" s="31"/>
      <c r="C4" s="31"/>
      <c r="D4" s="31"/>
      <c r="E4" s="34"/>
      <c r="F4" s="37"/>
      <c r="G4" s="40"/>
      <c r="H4" s="40"/>
      <c r="I4" s="43"/>
      <c r="J4" s="31"/>
      <c r="K4" s="31"/>
      <c r="L4" s="28"/>
      <c r="M4" s="31"/>
      <c r="N4" s="31"/>
      <c r="O4" s="7" t="s">
        <v>467</v>
      </c>
      <c r="P4" s="8">
        <v>37617</v>
      </c>
      <c r="Q4" s="7">
        <v>47698132870</v>
      </c>
      <c r="R4" s="7" t="s">
        <v>465</v>
      </c>
      <c r="S4" s="31"/>
    </row>
    <row r="5" spans="1:19">
      <c r="A5" s="7" t="s">
        <v>459</v>
      </c>
      <c r="B5" s="7" t="s">
        <v>473</v>
      </c>
      <c r="C5" s="7" t="s">
        <v>468</v>
      </c>
      <c r="D5" s="7" t="s">
        <v>469</v>
      </c>
      <c r="E5" s="9">
        <v>46023</v>
      </c>
      <c r="F5" s="17">
        <v>1000</v>
      </c>
      <c r="G5" s="22">
        <v>0</v>
      </c>
      <c r="H5" s="22">
        <v>1000</v>
      </c>
      <c r="I5" s="14" t="s">
        <v>470</v>
      </c>
      <c r="J5" s="7">
        <v>6608280</v>
      </c>
      <c r="K5" s="7" t="s">
        <v>41</v>
      </c>
      <c r="L5" s="8">
        <v>26299</v>
      </c>
      <c r="M5" s="7" t="s">
        <v>146</v>
      </c>
      <c r="N5" s="7" t="s">
        <v>471</v>
      </c>
      <c r="O5" s="44"/>
      <c r="P5" s="45"/>
      <c r="Q5" s="45"/>
      <c r="R5" s="46"/>
      <c r="S5" s="7">
        <v>0</v>
      </c>
    </row>
    <row r="6" spans="1:19">
      <c r="A6" s="7" t="s">
        <v>472</v>
      </c>
      <c r="B6" s="7" t="s">
        <v>473</v>
      </c>
      <c r="C6" s="7" t="s">
        <v>474</v>
      </c>
      <c r="D6" s="7" t="s">
        <v>475</v>
      </c>
      <c r="E6" s="9">
        <v>46023</v>
      </c>
      <c r="F6" s="17">
        <v>1600</v>
      </c>
      <c r="G6" s="22">
        <v>0</v>
      </c>
      <c r="H6" s="22">
        <v>1600</v>
      </c>
      <c r="I6" s="14" t="s">
        <v>476</v>
      </c>
      <c r="J6" s="7">
        <v>1152010</v>
      </c>
      <c r="K6" s="7" t="s">
        <v>477</v>
      </c>
      <c r="L6" s="8">
        <v>26123</v>
      </c>
      <c r="M6" s="7" t="s">
        <v>176</v>
      </c>
      <c r="N6" s="7" t="s">
        <v>478</v>
      </c>
      <c r="O6" s="44"/>
      <c r="P6" s="45"/>
      <c r="Q6" s="45"/>
      <c r="R6" s="46"/>
      <c r="S6" s="7">
        <v>0</v>
      </c>
    </row>
    <row r="7" spans="1:19">
      <c r="A7" s="7" t="s">
        <v>459</v>
      </c>
      <c r="B7" s="7" t="s">
        <v>473</v>
      </c>
      <c r="C7" s="7" t="s">
        <v>643</v>
      </c>
      <c r="D7" s="7" t="s">
        <v>479</v>
      </c>
      <c r="E7" s="9">
        <v>46023</v>
      </c>
      <c r="F7" s="17">
        <v>1000</v>
      </c>
      <c r="G7" s="22">
        <v>0</v>
      </c>
      <c r="H7" s="22">
        <v>1000</v>
      </c>
      <c r="I7" s="14" t="s">
        <v>480</v>
      </c>
      <c r="J7" s="7">
        <v>6620040</v>
      </c>
      <c r="K7" s="7" t="s">
        <v>481</v>
      </c>
      <c r="L7" s="8">
        <v>32717</v>
      </c>
      <c r="M7" s="7" t="s">
        <v>325</v>
      </c>
      <c r="N7" s="7" t="s">
        <v>482</v>
      </c>
      <c r="O7" s="44"/>
      <c r="P7" s="45"/>
      <c r="Q7" s="45"/>
      <c r="R7" s="46"/>
      <c r="S7" s="7">
        <v>0</v>
      </c>
    </row>
    <row r="8" spans="1:19" ht="15">
      <c r="A8" s="7" t="s">
        <v>483</v>
      </c>
      <c r="B8" s="7" t="s">
        <v>473</v>
      </c>
      <c r="C8" s="7" t="s">
        <v>644</v>
      </c>
      <c r="D8" s="7" t="s">
        <v>484</v>
      </c>
      <c r="E8" s="9">
        <v>46023</v>
      </c>
      <c r="F8" s="17">
        <v>10000</v>
      </c>
      <c r="G8" s="22">
        <v>1674.29</v>
      </c>
      <c r="H8" s="22">
        <v>8325.7099999999991</v>
      </c>
      <c r="I8" s="14" t="s">
        <v>485</v>
      </c>
      <c r="J8" s="7">
        <v>11380050</v>
      </c>
      <c r="K8" s="7" t="s">
        <v>486</v>
      </c>
      <c r="L8" s="8">
        <v>21936</v>
      </c>
      <c r="M8" s="7" t="s">
        <v>31</v>
      </c>
      <c r="N8" s="7" t="s">
        <v>487</v>
      </c>
      <c r="O8" s="44"/>
      <c r="P8" s="45"/>
      <c r="Q8" s="45"/>
      <c r="R8" s="46"/>
      <c r="S8" s="7">
        <v>0</v>
      </c>
    </row>
    <row r="9" spans="1:19">
      <c r="A9" s="7" t="s">
        <v>488</v>
      </c>
      <c r="B9" s="7" t="s">
        <v>473</v>
      </c>
      <c r="C9" s="7" t="s">
        <v>645</v>
      </c>
      <c r="D9" s="7" t="s">
        <v>489</v>
      </c>
      <c r="E9" s="9">
        <v>46023</v>
      </c>
      <c r="F9" s="17">
        <v>5000</v>
      </c>
      <c r="G9" s="22">
        <v>0</v>
      </c>
      <c r="H9" s="22">
        <v>5000</v>
      </c>
      <c r="I9" s="14" t="s">
        <v>490</v>
      </c>
      <c r="J9" s="7">
        <v>4792060</v>
      </c>
      <c r="K9" s="7" t="s">
        <v>44</v>
      </c>
      <c r="L9" s="8">
        <v>25667</v>
      </c>
      <c r="M9" s="7" t="s">
        <v>24</v>
      </c>
      <c r="N9" s="7" t="s">
        <v>491</v>
      </c>
      <c r="O9" s="44"/>
      <c r="P9" s="45"/>
      <c r="Q9" s="45"/>
      <c r="R9" s="46"/>
      <c r="S9" s="7">
        <v>0</v>
      </c>
    </row>
    <row r="10" spans="1:19">
      <c r="A10" s="7" t="s">
        <v>488</v>
      </c>
      <c r="B10" s="7" t="s">
        <v>473</v>
      </c>
      <c r="C10" s="7" t="s">
        <v>646</v>
      </c>
      <c r="D10" s="7" t="s">
        <v>492</v>
      </c>
      <c r="E10" s="9">
        <v>46023</v>
      </c>
      <c r="F10" s="17">
        <v>5000</v>
      </c>
      <c r="G10" s="22">
        <v>0</v>
      </c>
      <c r="H10" s="22">
        <v>5000</v>
      </c>
      <c r="I10" s="14" t="s">
        <v>493</v>
      </c>
      <c r="J10" s="7" t="s">
        <v>494</v>
      </c>
      <c r="K10" s="7" t="s">
        <v>495</v>
      </c>
      <c r="L10" s="8">
        <v>26147</v>
      </c>
      <c r="M10" s="7" t="s">
        <v>31</v>
      </c>
      <c r="N10" s="7" t="s">
        <v>496</v>
      </c>
      <c r="O10" s="44"/>
      <c r="P10" s="45"/>
      <c r="Q10" s="45"/>
      <c r="R10" s="46"/>
      <c r="S10" s="7">
        <v>2</v>
      </c>
    </row>
    <row r="11" spans="1:19">
      <c r="A11" s="7" t="s">
        <v>497</v>
      </c>
      <c r="B11" s="7" t="s">
        <v>473</v>
      </c>
      <c r="C11" s="7" t="s">
        <v>498</v>
      </c>
      <c r="D11" s="7" t="s">
        <v>499</v>
      </c>
      <c r="E11" s="9">
        <v>46023</v>
      </c>
      <c r="F11" s="17">
        <v>2550</v>
      </c>
      <c r="G11" s="22">
        <v>0</v>
      </c>
      <c r="H11" s="22">
        <v>2550</v>
      </c>
      <c r="I11" s="14" t="s">
        <v>500</v>
      </c>
      <c r="J11" s="7">
        <v>5782400</v>
      </c>
      <c r="K11" s="7" t="s">
        <v>501</v>
      </c>
      <c r="L11" s="8">
        <v>30038</v>
      </c>
      <c r="M11" s="7" t="s">
        <v>31</v>
      </c>
      <c r="N11" s="7" t="s">
        <v>72</v>
      </c>
      <c r="O11" s="7" t="s">
        <v>502</v>
      </c>
      <c r="P11" s="8">
        <v>35463</v>
      </c>
      <c r="Q11" s="7" t="s">
        <v>503</v>
      </c>
      <c r="R11" s="7" t="s">
        <v>158</v>
      </c>
      <c r="S11" s="7">
        <v>1</v>
      </c>
    </row>
    <row r="12" spans="1:19">
      <c r="A12" s="7" t="s">
        <v>497</v>
      </c>
      <c r="B12" s="7" t="s">
        <v>473</v>
      </c>
      <c r="C12" s="7" t="s">
        <v>647</v>
      </c>
      <c r="D12" s="7" t="s">
        <v>504</v>
      </c>
      <c r="E12" s="9">
        <v>46023</v>
      </c>
      <c r="F12" s="17">
        <v>1800</v>
      </c>
      <c r="G12" s="22">
        <v>0</v>
      </c>
      <c r="H12" s="22">
        <v>1800</v>
      </c>
      <c r="I12" s="14" t="s">
        <v>505</v>
      </c>
      <c r="J12" s="7">
        <v>5730160</v>
      </c>
      <c r="K12" s="7" t="s">
        <v>44</v>
      </c>
      <c r="L12" s="8">
        <v>33967</v>
      </c>
      <c r="M12" s="7" t="s">
        <v>204</v>
      </c>
      <c r="N12" s="7" t="s">
        <v>37</v>
      </c>
      <c r="O12" s="44"/>
      <c r="P12" s="45"/>
      <c r="Q12" s="45"/>
      <c r="R12" s="46"/>
      <c r="S12" s="7">
        <v>0</v>
      </c>
    </row>
    <row r="13" spans="1:19" ht="15">
      <c r="A13" s="7" t="s">
        <v>488</v>
      </c>
      <c r="B13" s="7" t="s">
        <v>473</v>
      </c>
      <c r="C13" s="7" t="s">
        <v>648</v>
      </c>
      <c r="D13" s="7" t="s">
        <v>506</v>
      </c>
      <c r="E13" s="9">
        <v>46023</v>
      </c>
      <c r="F13" s="17">
        <v>3000</v>
      </c>
      <c r="G13" s="22">
        <v>0</v>
      </c>
      <c r="H13" s="22">
        <v>3000</v>
      </c>
      <c r="I13" s="14" t="s">
        <v>493</v>
      </c>
      <c r="J13" s="7">
        <v>4792060</v>
      </c>
      <c r="K13" s="7" t="s">
        <v>507</v>
      </c>
      <c r="L13" s="8">
        <v>36786</v>
      </c>
      <c r="M13" s="7" t="s">
        <v>45</v>
      </c>
      <c r="N13" s="7" t="s">
        <v>491</v>
      </c>
      <c r="O13" s="44"/>
      <c r="P13" s="45"/>
      <c r="Q13" s="45"/>
      <c r="R13" s="46"/>
      <c r="S13" s="7">
        <v>0</v>
      </c>
    </row>
    <row r="14" spans="1:19" ht="15">
      <c r="A14" s="7" t="s">
        <v>483</v>
      </c>
      <c r="B14" s="7" t="s">
        <v>473</v>
      </c>
      <c r="C14" s="7" t="s">
        <v>649</v>
      </c>
      <c r="D14" s="7" t="s">
        <v>508</v>
      </c>
      <c r="E14" s="9">
        <v>46023</v>
      </c>
      <c r="F14" s="17">
        <v>4500</v>
      </c>
      <c r="G14" s="22">
        <v>0</v>
      </c>
      <c r="H14" s="22">
        <v>4500</v>
      </c>
      <c r="I14" s="14" t="s">
        <v>509</v>
      </c>
      <c r="J14" s="7">
        <v>11380050</v>
      </c>
      <c r="K14" s="7" t="s">
        <v>510</v>
      </c>
      <c r="L14" s="8">
        <v>23516</v>
      </c>
      <c r="M14" s="7" t="s">
        <v>325</v>
      </c>
      <c r="N14" s="7" t="s">
        <v>511</v>
      </c>
      <c r="O14" s="44"/>
      <c r="P14" s="45"/>
      <c r="Q14" s="45"/>
      <c r="R14" s="46"/>
      <c r="S14" s="7">
        <v>0</v>
      </c>
    </row>
    <row r="15" spans="1:19">
      <c r="A15" s="7" t="s">
        <v>512</v>
      </c>
      <c r="B15" s="7" t="s">
        <v>473</v>
      </c>
      <c r="C15" s="7" t="s">
        <v>650</v>
      </c>
      <c r="D15" s="7" t="s">
        <v>513</v>
      </c>
      <c r="E15" s="9">
        <v>46023</v>
      </c>
      <c r="F15" s="17">
        <v>2600</v>
      </c>
      <c r="G15" s="22">
        <v>0</v>
      </c>
      <c r="H15" s="22">
        <v>2600</v>
      </c>
      <c r="I15" s="14" t="s">
        <v>514</v>
      </c>
      <c r="J15" s="7">
        <v>5033080</v>
      </c>
      <c r="K15" s="7" t="s">
        <v>515</v>
      </c>
      <c r="L15" s="8">
        <v>27110</v>
      </c>
      <c r="M15" s="7" t="s">
        <v>176</v>
      </c>
      <c r="N15" s="7" t="s">
        <v>516</v>
      </c>
      <c r="O15" s="44"/>
      <c r="P15" s="45"/>
      <c r="Q15" s="45"/>
      <c r="R15" s="46"/>
      <c r="S15" s="7">
        <v>0</v>
      </c>
    </row>
    <row r="16" spans="1:19">
      <c r="A16" s="7" t="s">
        <v>497</v>
      </c>
      <c r="B16" s="7" t="s">
        <v>473</v>
      </c>
      <c r="C16" s="7" t="s">
        <v>651</v>
      </c>
      <c r="D16" s="7" t="s">
        <v>517</v>
      </c>
      <c r="E16" s="9">
        <v>46023</v>
      </c>
      <c r="F16" s="17">
        <v>2500</v>
      </c>
      <c r="G16" s="22">
        <v>0</v>
      </c>
      <c r="H16" s="22">
        <v>2500</v>
      </c>
      <c r="I16" s="14" t="s">
        <v>500</v>
      </c>
      <c r="J16" s="7">
        <v>5782400</v>
      </c>
      <c r="K16" s="7" t="s">
        <v>44</v>
      </c>
      <c r="L16" s="8">
        <v>27493</v>
      </c>
      <c r="M16" s="7" t="s">
        <v>24</v>
      </c>
      <c r="N16" s="7" t="s">
        <v>72</v>
      </c>
      <c r="O16" s="44"/>
      <c r="P16" s="45"/>
      <c r="Q16" s="45"/>
      <c r="R16" s="46"/>
      <c r="S16" s="7">
        <v>0</v>
      </c>
    </row>
    <row r="17" spans="1:19">
      <c r="A17" s="7" t="s">
        <v>512</v>
      </c>
      <c r="B17" s="7" t="s">
        <v>473</v>
      </c>
      <c r="C17" s="7" t="s">
        <v>518</v>
      </c>
      <c r="D17" s="7" t="s">
        <v>519</v>
      </c>
      <c r="E17" s="9">
        <v>46023</v>
      </c>
      <c r="F17" s="17">
        <v>2600</v>
      </c>
      <c r="G17" s="22">
        <v>0</v>
      </c>
      <c r="H17" s="22">
        <v>2600</v>
      </c>
      <c r="I17" s="14" t="s">
        <v>520</v>
      </c>
      <c r="J17" s="7">
        <v>5033080</v>
      </c>
      <c r="K17" s="7" t="s">
        <v>44</v>
      </c>
      <c r="L17" s="8">
        <v>23473</v>
      </c>
      <c r="M17" s="7" t="s">
        <v>31</v>
      </c>
      <c r="N17" s="7" t="s">
        <v>37</v>
      </c>
      <c r="O17" s="44"/>
      <c r="P17" s="45"/>
      <c r="Q17" s="45"/>
      <c r="R17" s="46"/>
      <c r="S17" s="7">
        <v>0</v>
      </c>
    </row>
    <row r="18" spans="1:19">
      <c r="A18" s="7" t="s">
        <v>488</v>
      </c>
      <c r="B18" s="7" t="s">
        <v>473</v>
      </c>
      <c r="C18" s="7" t="s">
        <v>652</v>
      </c>
      <c r="D18" s="7" t="s">
        <v>521</v>
      </c>
      <c r="E18" s="9">
        <v>46023</v>
      </c>
      <c r="F18" s="17">
        <v>3000</v>
      </c>
      <c r="G18" s="22">
        <v>0</v>
      </c>
      <c r="H18" s="22">
        <v>3000</v>
      </c>
      <c r="I18" s="14" t="s">
        <v>522</v>
      </c>
      <c r="J18" s="7">
        <v>4792060</v>
      </c>
      <c r="K18" s="7" t="s">
        <v>44</v>
      </c>
      <c r="L18" s="8">
        <v>28895</v>
      </c>
      <c r="M18" s="7" t="s">
        <v>31</v>
      </c>
      <c r="N18" s="7" t="s">
        <v>186</v>
      </c>
      <c r="O18" s="44"/>
      <c r="P18" s="45"/>
      <c r="Q18" s="45"/>
      <c r="R18" s="46"/>
      <c r="S18" s="7">
        <v>0</v>
      </c>
    </row>
    <row r="19" spans="1:19" ht="15">
      <c r="A19" s="7" t="s">
        <v>523</v>
      </c>
      <c r="B19" s="7" t="s">
        <v>473</v>
      </c>
      <c r="C19" s="7" t="s">
        <v>524</v>
      </c>
      <c r="D19" s="7" t="s">
        <v>525</v>
      </c>
      <c r="E19" s="9">
        <v>46023</v>
      </c>
      <c r="F19" s="17">
        <v>4000</v>
      </c>
      <c r="G19" s="22">
        <v>0</v>
      </c>
      <c r="H19" s="22">
        <v>4000</v>
      </c>
      <c r="I19" s="14" t="s">
        <v>526</v>
      </c>
      <c r="J19" s="7">
        <v>6636080</v>
      </c>
      <c r="K19" s="7" t="s">
        <v>41</v>
      </c>
      <c r="L19" s="8">
        <v>27340</v>
      </c>
      <c r="M19" s="7" t="s">
        <v>146</v>
      </c>
      <c r="N19" s="7" t="s">
        <v>527</v>
      </c>
      <c r="O19" s="44"/>
      <c r="P19" s="45"/>
      <c r="Q19" s="45"/>
      <c r="R19" s="46"/>
      <c r="S19" s="7">
        <v>0</v>
      </c>
    </row>
    <row r="20" spans="1:19">
      <c r="A20" s="7" t="s">
        <v>523</v>
      </c>
      <c r="B20" s="7" t="s">
        <v>473</v>
      </c>
      <c r="C20" s="7" t="s">
        <v>653</v>
      </c>
      <c r="D20" s="7" t="s">
        <v>528</v>
      </c>
      <c r="E20" s="9">
        <v>46023</v>
      </c>
      <c r="F20" s="17">
        <v>4000</v>
      </c>
      <c r="G20" s="22">
        <v>0</v>
      </c>
      <c r="H20" s="22">
        <v>4000</v>
      </c>
      <c r="I20" s="14" t="s">
        <v>526</v>
      </c>
      <c r="J20" s="7">
        <v>6636080</v>
      </c>
      <c r="K20" s="7" t="s">
        <v>41</v>
      </c>
      <c r="L20" s="8">
        <v>27837</v>
      </c>
      <c r="M20" s="7" t="s">
        <v>146</v>
      </c>
      <c r="N20" s="7" t="s">
        <v>527</v>
      </c>
      <c r="O20" s="44"/>
      <c r="P20" s="45"/>
      <c r="Q20" s="45"/>
      <c r="R20" s="46"/>
      <c r="S20" s="7">
        <v>0</v>
      </c>
    </row>
    <row r="21" spans="1:19">
      <c r="A21" s="47">
        <v>0.04</v>
      </c>
      <c r="B21" s="7" t="s">
        <v>473</v>
      </c>
      <c r="C21" s="7" t="s">
        <v>654</v>
      </c>
      <c r="D21" s="7" t="s">
        <v>451</v>
      </c>
      <c r="E21" s="9">
        <v>46023</v>
      </c>
      <c r="F21" s="17">
        <v>5000</v>
      </c>
      <c r="G21" s="22">
        <v>0</v>
      </c>
      <c r="H21" s="22">
        <v>5000</v>
      </c>
      <c r="I21" s="14" t="s">
        <v>452</v>
      </c>
      <c r="J21" s="7">
        <v>2636200</v>
      </c>
      <c r="K21" s="7" t="s">
        <v>453</v>
      </c>
      <c r="L21" s="8">
        <v>22149</v>
      </c>
      <c r="M21" s="7" t="s">
        <v>146</v>
      </c>
      <c r="N21" s="7" t="s">
        <v>37</v>
      </c>
      <c r="O21" s="44"/>
      <c r="P21" s="45"/>
      <c r="Q21" s="45"/>
      <c r="R21" s="46"/>
      <c r="S21" s="7">
        <v>0</v>
      </c>
    </row>
    <row r="22" spans="1:19">
      <c r="A22" s="7" t="s">
        <v>488</v>
      </c>
      <c r="B22" s="7" t="s">
        <v>473</v>
      </c>
      <c r="C22" s="7" t="s">
        <v>655</v>
      </c>
      <c r="D22" s="7" t="s">
        <v>529</v>
      </c>
      <c r="E22" s="9">
        <v>46023</v>
      </c>
      <c r="F22" s="17">
        <v>1150</v>
      </c>
      <c r="G22" s="22">
        <v>0</v>
      </c>
      <c r="H22" s="22">
        <v>1150</v>
      </c>
      <c r="I22" s="14" t="s">
        <v>530</v>
      </c>
      <c r="J22" s="7">
        <v>69301120</v>
      </c>
      <c r="K22" s="7" t="s">
        <v>44</v>
      </c>
      <c r="L22" s="8">
        <v>31428</v>
      </c>
      <c r="M22" s="7" t="s">
        <v>31</v>
      </c>
      <c r="N22" s="7" t="s">
        <v>186</v>
      </c>
      <c r="O22" s="44"/>
      <c r="P22" s="45"/>
      <c r="Q22" s="45"/>
      <c r="R22" s="46"/>
      <c r="S22" s="7">
        <v>0</v>
      </c>
    </row>
    <row r="23" spans="1:19" ht="15">
      <c r="A23" s="7" t="s">
        <v>531</v>
      </c>
      <c r="B23" s="7" t="s">
        <v>473</v>
      </c>
      <c r="C23" s="7" t="s">
        <v>656</v>
      </c>
      <c r="D23" s="7" t="s">
        <v>532</v>
      </c>
      <c r="E23" s="9">
        <v>46023</v>
      </c>
      <c r="F23" s="17">
        <v>2175</v>
      </c>
      <c r="G23" s="22">
        <v>0</v>
      </c>
      <c r="H23" s="22">
        <v>2175</v>
      </c>
      <c r="I23" s="14" t="s">
        <v>533</v>
      </c>
      <c r="J23" s="7">
        <v>14340000</v>
      </c>
      <c r="K23" s="7" t="s">
        <v>534</v>
      </c>
      <c r="L23" s="8">
        <v>27448</v>
      </c>
      <c r="M23" s="7" t="s">
        <v>31</v>
      </c>
      <c r="N23" s="7" t="s">
        <v>535</v>
      </c>
      <c r="O23" s="44"/>
      <c r="P23" s="45"/>
      <c r="Q23" s="45"/>
      <c r="R23" s="46"/>
      <c r="S23" s="7">
        <v>0</v>
      </c>
    </row>
    <row r="24" spans="1:19">
      <c r="A24" s="7" t="s">
        <v>536</v>
      </c>
      <c r="B24" s="7" t="s">
        <v>473</v>
      </c>
      <c r="C24" s="7" t="s">
        <v>537</v>
      </c>
      <c r="D24" s="7" t="s">
        <v>538</v>
      </c>
      <c r="E24" s="9">
        <v>46023</v>
      </c>
      <c r="F24" s="17">
        <v>2600</v>
      </c>
      <c r="G24" s="22">
        <v>0</v>
      </c>
      <c r="H24" s="22">
        <v>2600</v>
      </c>
      <c r="I24" s="14" t="s">
        <v>539</v>
      </c>
      <c r="J24" s="7">
        <v>4014020</v>
      </c>
      <c r="K24" s="7" t="s">
        <v>313</v>
      </c>
      <c r="L24" s="8">
        <v>31712</v>
      </c>
      <c r="M24" s="7" t="s">
        <v>146</v>
      </c>
      <c r="N24" s="7" t="s">
        <v>314</v>
      </c>
      <c r="O24" s="44"/>
      <c r="P24" s="45"/>
      <c r="Q24" s="45"/>
      <c r="R24" s="46"/>
      <c r="S24" s="7">
        <v>0</v>
      </c>
    </row>
    <row r="25" spans="1:19">
      <c r="A25" s="7" t="s">
        <v>536</v>
      </c>
      <c r="B25" s="7" t="s">
        <v>473</v>
      </c>
      <c r="C25" s="7" t="s">
        <v>657</v>
      </c>
      <c r="D25" s="7" t="s">
        <v>540</v>
      </c>
      <c r="E25" s="9">
        <v>46023</v>
      </c>
      <c r="F25" s="17">
        <v>2600</v>
      </c>
      <c r="G25" s="22">
        <v>0</v>
      </c>
      <c r="H25" s="22">
        <v>2600</v>
      </c>
      <c r="I25" s="14" t="s">
        <v>541</v>
      </c>
      <c r="J25" s="7">
        <v>4104020</v>
      </c>
      <c r="K25" s="7" t="s">
        <v>313</v>
      </c>
      <c r="L25" s="8">
        <v>33443</v>
      </c>
      <c r="M25" s="7" t="s">
        <v>325</v>
      </c>
      <c r="N25" s="7" t="s">
        <v>314</v>
      </c>
      <c r="O25" s="44"/>
      <c r="P25" s="45"/>
      <c r="Q25" s="45"/>
      <c r="R25" s="46"/>
      <c r="S25" s="7">
        <v>0</v>
      </c>
    </row>
    <row r="26" spans="1:19" ht="15">
      <c r="A26" s="7" t="s">
        <v>536</v>
      </c>
      <c r="B26" s="7" t="s">
        <v>473</v>
      </c>
      <c r="C26" s="7" t="s">
        <v>658</v>
      </c>
      <c r="D26" s="7" t="s">
        <v>542</v>
      </c>
      <c r="E26" s="9">
        <v>46023</v>
      </c>
      <c r="F26" s="17">
        <v>2600</v>
      </c>
      <c r="G26" s="22">
        <v>0</v>
      </c>
      <c r="H26" s="22">
        <v>2600</v>
      </c>
      <c r="I26" s="14" t="s">
        <v>543</v>
      </c>
      <c r="J26" s="7">
        <v>3183000</v>
      </c>
      <c r="K26" s="7" t="s">
        <v>544</v>
      </c>
      <c r="L26" s="8">
        <v>35678</v>
      </c>
      <c r="M26" s="7" t="s">
        <v>325</v>
      </c>
      <c r="N26" s="7" t="s">
        <v>314</v>
      </c>
      <c r="O26" s="44"/>
      <c r="P26" s="45"/>
      <c r="Q26" s="45"/>
      <c r="R26" s="46"/>
      <c r="S26" s="7">
        <v>0</v>
      </c>
    </row>
    <row r="27" spans="1:19">
      <c r="A27" s="7" t="s">
        <v>545</v>
      </c>
      <c r="B27" s="7" t="s">
        <v>473</v>
      </c>
      <c r="C27" s="7" t="s">
        <v>546</v>
      </c>
      <c r="D27" s="7" t="s">
        <v>547</v>
      </c>
      <c r="E27" s="9">
        <v>46023</v>
      </c>
      <c r="F27" s="17">
        <v>759</v>
      </c>
      <c r="G27" s="22">
        <v>0</v>
      </c>
      <c r="H27" s="22">
        <v>759</v>
      </c>
      <c r="I27" s="14" t="s">
        <v>548</v>
      </c>
      <c r="J27" s="7">
        <v>14031360</v>
      </c>
      <c r="K27" s="7" t="s">
        <v>549</v>
      </c>
      <c r="L27" s="8">
        <v>29917</v>
      </c>
      <c r="M27" s="7" t="s">
        <v>176</v>
      </c>
      <c r="N27" s="7" t="s">
        <v>437</v>
      </c>
      <c r="O27" s="44"/>
      <c r="P27" s="45"/>
      <c r="Q27" s="45"/>
      <c r="R27" s="46"/>
      <c r="S27" s="7">
        <v>0</v>
      </c>
    </row>
    <row r="28" spans="1:19">
      <c r="A28" s="7" t="s">
        <v>497</v>
      </c>
      <c r="B28" s="7" t="s">
        <v>473</v>
      </c>
      <c r="C28" s="7" t="s">
        <v>550</v>
      </c>
      <c r="D28" s="7" t="s">
        <v>551</v>
      </c>
      <c r="E28" s="9">
        <v>46023</v>
      </c>
      <c r="F28" s="17">
        <v>1500</v>
      </c>
      <c r="G28" s="22">
        <v>0</v>
      </c>
      <c r="H28" s="22">
        <v>1500</v>
      </c>
      <c r="I28" s="14" t="s">
        <v>552</v>
      </c>
      <c r="J28" s="7">
        <v>5776520</v>
      </c>
      <c r="K28" s="7" t="s">
        <v>44</v>
      </c>
      <c r="L28" s="8">
        <v>39413</v>
      </c>
      <c r="M28" s="7" t="s">
        <v>45</v>
      </c>
      <c r="N28" s="7" t="s">
        <v>553</v>
      </c>
      <c r="O28" s="44"/>
      <c r="P28" s="45"/>
      <c r="Q28" s="45"/>
      <c r="R28" s="46"/>
      <c r="S28" s="7">
        <v>0</v>
      </c>
    </row>
    <row r="29" spans="1:19">
      <c r="A29" s="7" t="s">
        <v>472</v>
      </c>
      <c r="B29" s="7" t="s">
        <v>473</v>
      </c>
      <c r="C29" s="7" t="s">
        <v>554</v>
      </c>
      <c r="D29" s="7" t="s">
        <v>555</v>
      </c>
      <c r="E29" s="9">
        <v>46023</v>
      </c>
      <c r="F29" s="17">
        <v>2400</v>
      </c>
      <c r="G29" s="22">
        <v>0</v>
      </c>
      <c r="H29" s="22">
        <v>2400</v>
      </c>
      <c r="I29" s="14" t="s">
        <v>556</v>
      </c>
      <c r="J29" s="7" t="s">
        <v>557</v>
      </c>
      <c r="K29" s="7" t="s">
        <v>44</v>
      </c>
      <c r="L29" s="8">
        <v>36841</v>
      </c>
      <c r="M29" s="7" t="s">
        <v>24</v>
      </c>
      <c r="N29" s="7" t="s">
        <v>79</v>
      </c>
      <c r="O29" s="44"/>
      <c r="P29" s="45"/>
      <c r="Q29" s="45"/>
      <c r="R29" s="46"/>
      <c r="S29" s="7">
        <v>0</v>
      </c>
    </row>
    <row r="30" spans="1:19">
      <c r="A30" s="7" t="s">
        <v>472</v>
      </c>
      <c r="B30" s="7" t="s">
        <v>473</v>
      </c>
      <c r="C30" s="7" t="s">
        <v>659</v>
      </c>
      <c r="D30" s="7" t="s">
        <v>558</v>
      </c>
      <c r="E30" s="9">
        <v>46023</v>
      </c>
      <c r="F30" s="17">
        <v>1500</v>
      </c>
      <c r="G30" s="22">
        <v>0</v>
      </c>
      <c r="H30" s="22">
        <v>1500</v>
      </c>
      <c r="I30" s="14" t="s">
        <v>559</v>
      </c>
      <c r="J30" s="7">
        <v>2402200</v>
      </c>
      <c r="K30" s="7" t="s">
        <v>410</v>
      </c>
      <c r="L30" s="8">
        <v>37343</v>
      </c>
      <c r="M30" s="7" t="s">
        <v>31</v>
      </c>
      <c r="N30" s="7" t="s">
        <v>304</v>
      </c>
      <c r="O30" s="44"/>
      <c r="P30" s="45"/>
      <c r="Q30" s="45"/>
      <c r="R30" s="46"/>
      <c r="S30" s="7">
        <v>0</v>
      </c>
    </row>
    <row r="31" spans="1:19">
      <c r="A31" s="47">
        <v>0.04</v>
      </c>
      <c r="B31" s="7" t="s">
        <v>473</v>
      </c>
      <c r="C31" s="7" t="s">
        <v>560</v>
      </c>
      <c r="D31" s="7" t="s">
        <v>561</v>
      </c>
      <c r="E31" s="9">
        <v>46023</v>
      </c>
      <c r="F31" s="17">
        <v>3800</v>
      </c>
      <c r="G31" s="22">
        <v>0</v>
      </c>
      <c r="H31" s="22">
        <v>3800</v>
      </c>
      <c r="I31" s="14" t="s">
        <v>562</v>
      </c>
      <c r="J31" s="7">
        <v>2373010</v>
      </c>
      <c r="K31" s="7" t="s">
        <v>563</v>
      </c>
      <c r="L31" s="8">
        <v>29001</v>
      </c>
      <c r="M31" s="7" t="s">
        <v>31</v>
      </c>
      <c r="N31" s="7" t="s">
        <v>564</v>
      </c>
      <c r="O31" s="7" t="s">
        <v>565</v>
      </c>
      <c r="P31" s="8">
        <v>30660</v>
      </c>
      <c r="Q31" s="7" t="s">
        <v>566</v>
      </c>
      <c r="R31" s="7" t="s">
        <v>242</v>
      </c>
      <c r="S31" s="7">
        <v>1</v>
      </c>
    </row>
    <row r="32" spans="1:19">
      <c r="A32" s="7" t="s">
        <v>497</v>
      </c>
      <c r="B32" s="7" t="s">
        <v>473</v>
      </c>
      <c r="C32" s="7" t="s">
        <v>567</v>
      </c>
      <c r="D32" s="7" t="s">
        <v>568</v>
      </c>
      <c r="E32" s="9">
        <v>46023</v>
      </c>
      <c r="F32" s="17">
        <v>1500</v>
      </c>
      <c r="G32" s="22">
        <v>0</v>
      </c>
      <c r="H32" s="22">
        <v>1500</v>
      </c>
      <c r="I32" s="14" t="s">
        <v>569</v>
      </c>
      <c r="J32" s="7">
        <v>5774260</v>
      </c>
      <c r="K32" s="7" t="s">
        <v>44</v>
      </c>
      <c r="L32" s="8">
        <v>38123</v>
      </c>
      <c r="M32" s="7" t="s">
        <v>45</v>
      </c>
      <c r="N32" s="7" t="s">
        <v>570</v>
      </c>
      <c r="O32" s="44"/>
      <c r="P32" s="45"/>
      <c r="Q32" s="45"/>
      <c r="R32" s="46"/>
      <c r="S32" s="7">
        <v>0</v>
      </c>
    </row>
    <row r="33" spans="1:19">
      <c r="A33" s="7" t="s">
        <v>571</v>
      </c>
      <c r="B33" s="7" t="s">
        <v>473</v>
      </c>
      <c r="C33" s="7" t="s">
        <v>572</v>
      </c>
      <c r="D33" s="7" t="s">
        <v>573</v>
      </c>
      <c r="E33" s="9">
        <v>46023</v>
      </c>
      <c r="F33" s="17">
        <v>1040.31</v>
      </c>
      <c r="G33" s="22">
        <v>0</v>
      </c>
      <c r="H33" s="22">
        <v>1040.31</v>
      </c>
      <c r="I33" s="14" t="s">
        <v>574</v>
      </c>
      <c r="J33" s="7">
        <v>15070530</v>
      </c>
      <c r="K33" s="7" t="s">
        <v>575</v>
      </c>
      <c r="L33" s="8">
        <v>28788</v>
      </c>
      <c r="M33" s="7" t="s">
        <v>24</v>
      </c>
      <c r="N33" s="7" t="s">
        <v>576</v>
      </c>
      <c r="O33" s="44"/>
      <c r="P33" s="45"/>
      <c r="Q33" s="45"/>
      <c r="R33" s="46"/>
      <c r="S33" s="7">
        <v>0</v>
      </c>
    </row>
    <row r="34" spans="1:19">
      <c r="A34" s="7" t="s">
        <v>577</v>
      </c>
      <c r="B34" s="7" t="s">
        <v>473</v>
      </c>
      <c r="C34" s="7" t="s">
        <v>578</v>
      </c>
      <c r="D34" s="7" t="s">
        <v>579</v>
      </c>
      <c r="E34" s="9">
        <v>46023</v>
      </c>
      <c r="F34" s="17">
        <v>2947.68</v>
      </c>
      <c r="G34" s="22">
        <v>0</v>
      </c>
      <c r="H34" s="22">
        <v>2947.68</v>
      </c>
      <c r="I34" s="14" t="s">
        <v>580</v>
      </c>
      <c r="J34" s="7">
        <v>14021579</v>
      </c>
      <c r="K34" s="7" t="s">
        <v>575</v>
      </c>
      <c r="L34" s="8">
        <v>29143</v>
      </c>
      <c r="M34" s="7" t="s">
        <v>176</v>
      </c>
      <c r="N34" s="7" t="s">
        <v>269</v>
      </c>
      <c r="O34" s="44"/>
      <c r="P34" s="45"/>
      <c r="Q34" s="45"/>
      <c r="R34" s="46"/>
      <c r="S34" s="7">
        <v>0</v>
      </c>
    </row>
    <row r="35" spans="1:19">
      <c r="A35" s="7" t="s">
        <v>581</v>
      </c>
      <c r="B35" s="7" t="s">
        <v>473</v>
      </c>
      <c r="C35" s="7" t="s">
        <v>660</v>
      </c>
      <c r="D35" s="7" t="s">
        <v>582</v>
      </c>
      <c r="E35" s="9">
        <v>46023</v>
      </c>
      <c r="F35" s="17">
        <v>2599.14</v>
      </c>
      <c r="G35" s="22">
        <v>0</v>
      </c>
      <c r="H35" s="22">
        <v>2599.14</v>
      </c>
      <c r="I35" s="14" t="s">
        <v>583</v>
      </c>
      <c r="J35" s="7">
        <v>4120140</v>
      </c>
      <c r="K35" s="7" t="s">
        <v>44</v>
      </c>
      <c r="L35" s="8">
        <v>22445</v>
      </c>
      <c r="M35" s="7" t="s">
        <v>31</v>
      </c>
      <c r="N35" s="7" t="s">
        <v>51</v>
      </c>
      <c r="O35" s="44"/>
      <c r="P35" s="45"/>
      <c r="Q35" s="45"/>
      <c r="R35" s="46"/>
      <c r="S35" s="7">
        <v>0</v>
      </c>
    </row>
    <row r="36" spans="1:19">
      <c r="A36" s="7" t="s">
        <v>472</v>
      </c>
      <c r="B36" s="7" t="s">
        <v>473</v>
      </c>
      <c r="C36" s="7" t="s">
        <v>565</v>
      </c>
      <c r="D36" s="7" t="s">
        <v>566</v>
      </c>
      <c r="E36" s="9">
        <v>46023</v>
      </c>
      <c r="F36" s="17">
        <v>2507</v>
      </c>
      <c r="G36" s="22">
        <v>0</v>
      </c>
      <c r="H36" s="22">
        <v>2507</v>
      </c>
      <c r="I36" s="14" t="s">
        <v>584</v>
      </c>
      <c r="J36" s="7">
        <v>2373010</v>
      </c>
      <c r="K36" s="7" t="s">
        <v>585</v>
      </c>
      <c r="L36" s="8">
        <v>30660</v>
      </c>
      <c r="M36" s="7" t="s">
        <v>176</v>
      </c>
      <c r="N36" s="7" t="s">
        <v>586</v>
      </c>
      <c r="O36" s="44"/>
      <c r="P36" s="45"/>
      <c r="Q36" s="45"/>
      <c r="R36" s="46"/>
      <c r="S36" s="7">
        <v>0</v>
      </c>
    </row>
    <row r="37" spans="1:19">
      <c r="A37" s="7" t="s">
        <v>488</v>
      </c>
      <c r="B37" s="7" t="s">
        <v>473</v>
      </c>
      <c r="C37" s="7" t="s">
        <v>661</v>
      </c>
      <c r="D37" s="7" t="s">
        <v>587</v>
      </c>
      <c r="E37" s="9">
        <v>46023</v>
      </c>
      <c r="F37" s="17">
        <v>525</v>
      </c>
      <c r="G37" s="22">
        <v>0</v>
      </c>
      <c r="H37" s="22">
        <v>525</v>
      </c>
      <c r="I37" s="14" t="s">
        <v>588</v>
      </c>
      <c r="J37" s="7">
        <v>4830100</v>
      </c>
      <c r="K37" s="7" t="s">
        <v>44</v>
      </c>
      <c r="L37" s="8">
        <v>31581</v>
      </c>
      <c r="M37" s="7" t="s">
        <v>31</v>
      </c>
      <c r="N37" s="7" t="s">
        <v>336</v>
      </c>
      <c r="O37" s="44"/>
      <c r="P37" s="45"/>
      <c r="Q37" s="45"/>
      <c r="R37" s="46"/>
      <c r="S37" s="7">
        <v>0</v>
      </c>
    </row>
    <row r="38" spans="1:19">
      <c r="A38" s="7" t="s">
        <v>488</v>
      </c>
      <c r="B38" s="7" t="s">
        <v>473</v>
      </c>
      <c r="C38" s="7" t="s">
        <v>662</v>
      </c>
      <c r="D38" s="7" t="s">
        <v>589</v>
      </c>
      <c r="E38" s="9">
        <v>46023</v>
      </c>
      <c r="F38" s="17">
        <v>500</v>
      </c>
      <c r="G38" s="22">
        <v>0</v>
      </c>
      <c r="H38" s="22">
        <v>500</v>
      </c>
      <c r="I38" s="14" t="s">
        <v>590</v>
      </c>
      <c r="J38" s="7">
        <v>4863120</v>
      </c>
      <c r="K38" s="7" t="s">
        <v>44</v>
      </c>
      <c r="L38" s="8">
        <v>28214</v>
      </c>
      <c r="M38" s="7" t="s">
        <v>31</v>
      </c>
      <c r="N38" s="7" t="s">
        <v>591</v>
      </c>
      <c r="O38" s="44"/>
      <c r="P38" s="45"/>
      <c r="Q38" s="45"/>
      <c r="R38" s="46"/>
      <c r="S38" s="7">
        <v>0</v>
      </c>
    </row>
    <row r="39" spans="1:19">
      <c r="A39" s="7" t="s">
        <v>488</v>
      </c>
      <c r="B39" s="7" t="s">
        <v>473</v>
      </c>
      <c r="C39" s="7" t="s">
        <v>663</v>
      </c>
      <c r="D39" s="7" t="s">
        <v>592</v>
      </c>
      <c r="E39" s="9">
        <v>46023</v>
      </c>
      <c r="F39" s="17">
        <v>2065</v>
      </c>
      <c r="G39" s="22">
        <v>0</v>
      </c>
      <c r="H39" s="22">
        <v>2065</v>
      </c>
      <c r="I39" s="14" t="s">
        <v>593</v>
      </c>
      <c r="J39" s="7">
        <v>4849050</v>
      </c>
      <c r="K39" s="7" t="s">
        <v>594</v>
      </c>
      <c r="L39" s="8">
        <v>28612</v>
      </c>
      <c r="M39" s="7" t="s">
        <v>31</v>
      </c>
      <c r="N39" s="7" t="s">
        <v>595</v>
      </c>
      <c r="O39" s="44"/>
      <c r="P39" s="45"/>
      <c r="Q39" s="45"/>
      <c r="R39" s="46"/>
      <c r="S39" s="7">
        <v>0</v>
      </c>
    </row>
    <row r="40" spans="1:19">
      <c r="A40" s="7" t="s">
        <v>596</v>
      </c>
      <c r="B40" s="7" t="s">
        <v>473</v>
      </c>
      <c r="C40" s="7" t="s">
        <v>664</v>
      </c>
      <c r="D40" s="7" t="s">
        <v>597</v>
      </c>
      <c r="E40" s="9">
        <v>46023</v>
      </c>
      <c r="F40" s="17">
        <v>1300</v>
      </c>
      <c r="G40" s="22">
        <v>0</v>
      </c>
      <c r="H40" s="22">
        <v>1300</v>
      </c>
      <c r="I40" s="14" t="s">
        <v>598</v>
      </c>
      <c r="J40" s="7">
        <v>5844190</v>
      </c>
      <c r="K40" s="7" t="s">
        <v>313</v>
      </c>
      <c r="L40" s="8">
        <v>30545</v>
      </c>
      <c r="M40" s="7" t="s">
        <v>138</v>
      </c>
      <c r="N40" s="7" t="s">
        <v>599</v>
      </c>
      <c r="O40" s="44"/>
      <c r="P40" s="45"/>
      <c r="Q40" s="45"/>
      <c r="R40" s="46"/>
      <c r="S40" s="7">
        <v>0</v>
      </c>
    </row>
    <row r="41" spans="1:19">
      <c r="A41" s="7" t="s">
        <v>545</v>
      </c>
      <c r="B41" s="7" t="s">
        <v>473</v>
      </c>
      <c r="C41" s="7" t="s">
        <v>665</v>
      </c>
      <c r="D41" s="7" t="s">
        <v>600</v>
      </c>
      <c r="E41" s="9">
        <v>46023</v>
      </c>
      <c r="F41" s="17">
        <v>2000</v>
      </c>
      <c r="G41" s="22">
        <v>0</v>
      </c>
      <c r="H41" s="22">
        <v>2000</v>
      </c>
      <c r="I41" s="14" t="s">
        <v>601</v>
      </c>
      <c r="J41" s="7">
        <v>14031360</v>
      </c>
      <c r="K41" s="7" t="s">
        <v>575</v>
      </c>
      <c r="L41" s="8">
        <v>29021</v>
      </c>
      <c r="M41" s="7" t="s">
        <v>31</v>
      </c>
      <c r="N41" s="7" t="s">
        <v>25</v>
      </c>
      <c r="O41" s="44"/>
      <c r="P41" s="45"/>
      <c r="Q41" s="45"/>
      <c r="R41" s="46"/>
      <c r="S41" s="7">
        <v>0</v>
      </c>
    </row>
    <row r="42" spans="1:19">
      <c r="A42" s="7" t="s">
        <v>602</v>
      </c>
      <c r="B42" s="7" t="s">
        <v>473</v>
      </c>
      <c r="C42" s="7" t="s">
        <v>666</v>
      </c>
      <c r="D42" s="7" t="s">
        <v>603</v>
      </c>
      <c r="E42" s="9">
        <v>46023</v>
      </c>
      <c r="F42" s="17">
        <v>550</v>
      </c>
      <c r="G42" s="22">
        <v>0</v>
      </c>
      <c r="H42" s="22">
        <v>550</v>
      </c>
      <c r="I42" s="14" t="s">
        <v>604</v>
      </c>
      <c r="J42" s="7">
        <v>11940000</v>
      </c>
      <c r="K42" s="7" t="s">
        <v>605</v>
      </c>
      <c r="L42" s="8">
        <v>24694</v>
      </c>
      <c r="M42" s="7" t="s">
        <v>31</v>
      </c>
      <c r="N42" s="7" t="s">
        <v>62</v>
      </c>
      <c r="O42" s="44"/>
      <c r="P42" s="45"/>
      <c r="Q42" s="45"/>
      <c r="R42" s="46"/>
      <c r="S42" s="7">
        <v>0</v>
      </c>
    </row>
    <row r="43" spans="1:19">
      <c r="A43" s="7" t="s">
        <v>488</v>
      </c>
      <c r="B43" s="7" t="s">
        <v>473</v>
      </c>
      <c r="C43" s="7" t="s">
        <v>606</v>
      </c>
      <c r="D43" s="7" t="s">
        <v>607</v>
      </c>
      <c r="E43" s="9">
        <v>46023</v>
      </c>
      <c r="F43" s="17">
        <v>1000</v>
      </c>
      <c r="G43" s="22">
        <v>0</v>
      </c>
      <c r="H43" s="22">
        <v>1000</v>
      </c>
      <c r="I43" s="14" t="s">
        <v>608</v>
      </c>
      <c r="J43" s="7" t="s">
        <v>609</v>
      </c>
      <c r="K43" s="7" t="s">
        <v>44</v>
      </c>
      <c r="L43" s="8">
        <v>28395</v>
      </c>
      <c r="M43" s="7" t="s">
        <v>325</v>
      </c>
      <c r="N43" s="7" t="s">
        <v>610</v>
      </c>
      <c r="O43" s="44"/>
      <c r="P43" s="45"/>
      <c r="Q43" s="45"/>
      <c r="R43" s="46"/>
      <c r="S43" s="7">
        <v>0</v>
      </c>
    </row>
    <row r="44" spans="1:19">
      <c r="A44" s="7" t="s">
        <v>611</v>
      </c>
      <c r="B44" s="7" t="s">
        <v>473</v>
      </c>
      <c r="C44" s="7" t="s">
        <v>667</v>
      </c>
      <c r="D44" s="7" t="s">
        <v>612</v>
      </c>
      <c r="E44" s="9">
        <v>46023</v>
      </c>
      <c r="F44" s="17">
        <v>2500</v>
      </c>
      <c r="G44" s="22">
        <v>0</v>
      </c>
      <c r="H44" s="22">
        <v>2500</v>
      </c>
      <c r="I44" s="14" t="s">
        <v>613</v>
      </c>
      <c r="J44" s="7">
        <v>5661020</v>
      </c>
      <c r="K44" s="7" t="s">
        <v>44</v>
      </c>
      <c r="L44" s="8">
        <v>27958</v>
      </c>
      <c r="M44" s="7" t="s">
        <v>31</v>
      </c>
      <c r="N44" s="7" t="s">
        <v>37</v>
      </c>
      <c r="O44" s="44"/>
      <c r="P44" s="45"/>
      <c r="Q44" s="45"/>
      <c r="R44" s="46"/>
      <c r="S44" s="7">
        <v>0</v>
      </c>
    </row>
    <row r="45" spans="1:19">
      <c r="A45" s="7" t="s">
        <v>614</v>
      </c>
      <c r="B45" s="7" t="s">
        <v>473</v>
      </c>
      <c r="C45" s="7" t="s">
        <v>615</v>
      </c>
      <c r="D45" s="7" t="s">
        <v>616</v>
      </c>
      <c r="E45" s="9">
        <v>46023</v>
      </c>
      <c r="F45" s="17">
        <v>3000</v>
      </c>
      <c r="G45" s="22">
        <v>0</v>
      </c>
      <c r="H45" s="22">
        <v>3000</v>
      </c>
      <c r="I45" s="14" t="s">
        <v>617</v>
      </c>
      <c r="J45" s="7">
        <v>4070070</v>
      </c>
      <c r="K45" s="7" t="s">
        <v>618</v>
      </c>
      <c r="L45" s="8">
        <v>26675</v>
      </c>
      <c r="M45" s="7" t="s">
        <v>31</v>
      </c>
      <c r="N45" s="7" t="s">
        <v>51</v>
      </c>
      <c r="O45" s="44"/>
      <c r="P45" s="45"/>
      <c r="Q45" s="45"/>
      <c r="R45" s="46"/>
      <c r="S45" s="7">
        <v>0</v>
      </c>
    </row>
    <row r="46" spans="1:19">
      <c r="A46" s="7" t="s">
        <v>619</v>
      </c>
      <c r="B46" s="7" t="s">
        <v>473</v>
      </c>
      <c r="C46" s="7" t="s">
        <v>668</v>
      </c>
      <c r="D46" s="7" t="s">
        <v>620</v>
      </c>
      <c r="E46" s="9">
        <v>46023</v>
      </c>
      <c r="F46" s="17">
        <v>4881.7</v>
      </c>
      <c r="G46" s="22">
        <v>0</v>
      </c>
      <c r="H46" s="22">
        <v>4881.7</v>
      </c>
      <c r="I46" s="14" t="s">
        <v>621</v>
      </c>
      <c r="J46" s="7">
        <v>13820000</v>
      </c>
      <c r="K46" s="7" t="s">
        <v>622</v>
      </c>
      <c r="L46" s="8">
        <v>31960</v>
      </c>
      <c r="M46" s="7" t="s">
        <v>24</v>
      </c>
      <c r="N46" s="7" t="s">
        <v>37</v>
      </c>
      <c r="O46" s="44"/>
      <c r="P46" s="45"/>
      <c r="Q46" s="45"/>
      <c r="R46" s="46"/>
      <c r="S46" s="7">
        <v>0</v>
      </c>
    </row>
    <row r="47" spans="1:19">
      <c r="A47" s="7" t="s">
        <v>531</v>
      </c>
      <c r="B47" s="7" t="s">
        <v>473</v>
      </c>
      <c r="C47" s="7" t="s">
        <v>623</v>
      </c>
      <c r="D47" s="7" t="s">
        <v>624</v>
      </c>
      <c r="E47" s="9">
        <v>46023</v>
      </c>
      <c r="F47" s="17">
        <v>2400</v>
      </c>
      <c r="G47" s="22">
        <v>0</v>
      </c>
      <c r="H47" s="22">
        <v>2400</v>
      </c>
      <c r="I47" s="14" t="s">
        <v>625</v>
      </c>
      <c r="J47" s="7">
        <v>14340000</v>
      </c>
      <c r="K47" s="7" t="s">
        <v>626</v>
      </c>
      <c r="L47" s="8">
        <v>27761</v>
      </c>
      <c r="M47" s="7" t="s">
        <v>24</v>
      </c>
      <c r="N47" s="7" t="s">
        <v>627</v>
      </c>
      <c r="O47" s="44"/>
      <c r="P47" s="45"/>
      <c r="Q47" s="45"/>
      <c r="R47" s="46"/>
      <c r="S47" s="7">
        <v>0</v>
      </c>
    </row>
    <row r="48" spans="1:19">
      <c r="A48" s="7" t="s">
        <v>512</v>
      </c>
      <c r="B48" s="7" t="s">
        <v>473</v>
      </c>
      <c r="C48" s="7" t="s">
        <v>628</v>
      </c>
      <c r="D48" s="7" t="s">
        <v>629</v>
      </c>
      <c r="E48" s="9">
        <v>46023</v>
      </c>
      <c r="F48" s="17">
        <v>2600</v>
      </c>
      <c r="G48" s="22">
        <v>0</v>
      </c>
      <c r="H48" s="22">
        <v>2600</v>
      </c>
      <c r="I48" s="14" t="s">
        <v>630</v>
      </c>
      <c r="J48" s="7">
        <v>2420000</v>
      </c>
      <c r="K48" s="7" t="s">
        <v>44</v>
      </c>
      <c r="L48" s="8">
        <v>27247</v>
      </c>
      <c r="M48" s="7" t="s">
        <v>31</v>
      </c>
      <c r="N48" s="7" t="s">
        <v>631</v>
      </c>
      <c r="O48" s="44"/>
      <c r="P48" s="45"/>
      <c r="Q48" s="45"/>
      <c r="R48" s="46"/>
      <c r="S48" s="7">
        <v>0</v>
      </c>
    </row>
    <row r="49" spans="1:19">
      <c r="A49" s="7" t="s">
        <v>632</v>
      </c>
      <c r="B49" s="7" t="s">
        <v>473</v>
      </c>
      <c r="C49" s="7" t="s">
        <v>633</v>
      </c>
      <c r="D49" s="7" t="s">
        <v>634</v>
      </c>
      <c r="E49" s="9">
        <v>46023</v>
      </c>
      <c r="F49" s="17">
        <v>4000</v>
      </c>
      <c r="G49" s="22">
        <v>0</v>
      </c>
      <c r="H49" s="22">
        <v>4000</v>
      </c>
      <c r="I49" s="14" t="s">
        <v>635</v>
      </c>
      <c r="J49" s="7">
        <v>7095070</v>
      </c>
      <c r="K49" s="7" t="s">
        <v>44</v>
      </c>
      <c r="L49" s="8">
        <v>25195</v>
      </c>
      <c r="M49" s="7" t="s">
        <v>31</v>
      </c>
      <c r="N49" s="7" t="s">
        <v>32</v>
      </c>
      <c r="O49" s="44"/>
      <c r="P49" s="45"/>
      <c r="Q49" s="45"/>
      <c r="R49" s="46"/>
      <c r="S49" s="7">
        <v>0</v>
      </c>
    </row>
    <row r="50" spans="1:19">
      <c r="A50" s="7" t="s">
        <v>497</v>
      </c>
      <c r="B50" s="7" t="s">
        <v>473</v>
      </c>
      <c r="C50" s="7" t="s">
        <v>669</v>
      </c>
      <c r="D50" s="7" t="s">
        <v>636</v>
      </c>
      <c r="E50" s="9">
        <v>46023</v>
      </c>
      <c r="F50" s="17">
        <v>2500</v>
      </c>
      <c r="G50" s="22">
        <v>0</v>
      </c>
      <c r="H50" s="22">
        <v>2500</v>
      </c>
      <c r="I50" s="14" t="s">
        <v>637</v>
      </c>
      <c r="J50" s="7">
        <v>8452420</v>
      </c>
      <c r="K50" s="7" t="s">
        <v>44</v>
      </c>
      <c r="L50" s="8">
        <v>29906</v>
      </c>
      <c r="M50" s="7" t="s">
        <v>31</v>
      </c>
      <c r="N50" s="7" t="s">
        <v>72</v>
      </c>
      <c r="O50" s="44"/>
      <c r="P50" s="45"/>
      <c r="Q50" s="45"/>
      <c r="R50" s="46"/>
      <c r="S50" s="7">
        <v>0</v>
      </c>
    </row>
    <row r="51" spans="1:19">
      <c r="A51" s="7" t="s">
        <v>497</v>
      </c>
      <c r="B51" s="7" t="s">
        <v>473</v>
      </c>
      <c r="C51" s="7" t="s">
        <v>638</v>
      </c>
      <c r="D51" s="7" t="s">
        <v>639</v>
      </c>
      <c r="E51" s="9">
        <v>46023</v>
      </c>
      <c r="F51" s="17">
        <v>1500</v>
      </c>
      <c r="G51" s="22">
        <v>0</v>
      </c>
      <c r="H51" s="22">
        <v>1500</v>
      </c>
      <c r="I51" s="14" t="s">
        <v>640</v>
      </c>
      <c r="J51" s="7">
        <v>13233542</v>
      </c>
      <c r="K51" s="7" t="s">
        <v>44</v>
      </c>
      <c r="L51" s="8">
        <v>36378</v>
      </c>
      <c r="M51" s="7" t="s">
        <v>31</v>
      </c>
      <c r="N51" s="7" t="s">
        <v>32</v>
      </c>
      <c r="O51" s="44"/>
      <c r="P51" s="45"/>
      <c r="Q51" s="45"/>
      <c r="R51" s="46"/>
      <c r="S51" s="7">
        <v>0</v>
      </c>
    </row>
    <row r="52" spans="1:19">
      <c r="A52" s="47">
        <v>0.04</v>
      </c>
      <c r="B52" s="7" t="s">
        <v>473</v>
      </c>
      <c r="C52" s="7" t="s">
        <v>670</v>
      </c>
      <c r="D52" s="7" t="s">
        <v>641</v>
      </c>
      <c r="E52" s="9">
        <v>46023</v>
      </c>
      <c r="F52" s="19">
        <v>2450</v>
      </c>
      <c r="G52" s="23">
        <v>0</v>
      </c>
      <c r="H52" s="23">
        <v>2450</v>
      </c>
      <c r="I52" s="14" t="s">
        <v>452</v>
      </c>
      <c r="J52" s="7">
        <v>2636200</v>
      </c>
      <c r="K52" s="7" t="s">
        <v>642</v>
      </c>
      <c r="L52" s="8">
        <v>23859</v>
      </c>
      <c r="M52" s="7" t="s">
        <v>325</v>
      </c>
      <c r="N52" s="7" t="s">
        <v>441</v>
      </c>
      <c r="O52" s="44"/>
      <c r="P52" s="45"/>
      <c r="Q52" s="45"/>
      <c r="R52" s="46"/>
      <c r="S52" s="7">
        <v>0</v>
      </c>
    </row>
    <row r="53" spans="1:19" ht="15.75">
      <c r="A53" s="7"/>
      <c r="B53" s="7"/>
      <c r="C53" s="7"/>
      <c r="D53" s="7"/>
      <c r="E53" s="10"/>
      <c r="F53" s="20">
        <f>SUM(F2:F52)</f>
        <v>126899.82999999999</v>
      </c>
      <c r="G53" s="24">
        <f>SUM(G2:G52)</f>
        <v>1674.29</v>
      </c>
      <c r="H53" s="24">
        <f>SUM(H2:H52)</f>
        <v>125225.53999999998</v>
      </c>
      <c r="I53" s="15"/>
      <c r="J53" s="11"/>
      <c r="K53" s="11"/>
      <c r="L53" s="11"/>
      <c r="M53" s="11"/>
      <c r="N53" s="11"/>
      <c r="O53" s="11"/>
      <c r="P53" s="11"/>
      <c r="Q53" s="11"/>
      <c r="R53" s="11"/>
      <c r="S53" s="12"/>
    </row>
  </sheetData>
  <mergeCells count="61">
    <mergeCell ref="O52:R52"/>
    <mergeCell ref="O46:R46"/>
    <mergeCell ref="O47:R47"/>
    <mergeCell ref="O48:R48"/>
    <mergeCell ref="O49:R49"/>
    <mergeCell ref="O50:R50"/>
    <mergeCell ref="O51:R51"/>
    <mergeCell ref="O45:R45"/>
    <mergeCell ref="O34:R34"/>
    <mergeCell ref="O35:R35"/>
    <mergeCell ref="O36:R36"/>
    <mergeCell ref="O37:R37"/>
    <mergeCell ref="O38:R38"/>
    <mergeCell ref="O39:R39"/>
    <mergeCell ref="O40:R40"/>
    <mergeCell ref="O41:R41"/>
    <mergeCell ref="O42:R42"/>
    <mergeCell ref="O43:R43"/>
    <mergeCell ref="O44:R44"/>
    <mergeCell ref="O33:R33"/>
    <mergeCell ref="O21:R21"/>
    <mergeCell ref="O22:R22"/>
    <mergeCell ref="O23:R23"/>
    <mergeCell ref="O24:R24"/>
    <mergeCell ref="O25:R25"/>
    <mergeCell ref="O26:R26"/>
    <mergeCell ref="O27:R27"/>
    <mergeCell ref="O28:R28"/>
    <mergeCell ref="O29:R29"/>
    <mergeCell ref="O30:R30"/>
    <mergeCell ref="O32:R32"/>
    <mergeCell ref="S2:S4"/>
    <mergeCell ref="O5:R5"/>
    <mergeCell ref="O6:R6"/>
    <mergeCell ref="O20:R20"/>
    <mergeCell ref="O8:R8"/>
    <mergeCell ref="O9:R9"/>
    <mergeCell ref="O10:R10"/>
    <mergeCell ref="O12:R12"/>
    <mergeCell ref="O13:R13"/>
    <mergeCell ref="O14:R14"/>
    <mergeCell ref="O15:R15"/>
    <mergeCell ref="O16:R16"/>
    <mergeCell ref="O17:R17"/>
    <mergeCell ref="O18:R18"/>
    <mergeCell ref="O19:R19"/>
    <mergeCell ref="O7:R7"/>
    <mergeCell ref="L2:L4"/>
    <mergeCell ref="M2:M4"/>
    <mergeCell ref="N2:N4"/>
    <mergeCell ref="A2:A4"/>
    <mergeCell ref="B2:B4"/>
    <mergeCell ref="D2:D4"/>
    <mergeCell ref="E2:E4"/>
    <mergeCell ref="F2:F4"/>
    <mergeCell ref="G2:G4"/>
    <mergeCell ref="H2:H4"/>
    <mergeCell ref="I2:I4"/>
    <mergeCell ref="J2:J4"/>
    <mergeCell ref="K2:K4"/>
    <mergeCell ref="C2:C4"/>
  </mergeCells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S81"/>
  <sheetViews>
    <sheetView showGridLines="0" topLeftCell="A67" workbookViewId="0">
      <selection activeCell="C11" sqref="C11:C12"/>
    </sheetView>
  </sheetViews>
  <sheetFormatPr defaultRowHeight="14.25"/>
  <cols>
    <col min="1" max="1" width="29.140625" style="6" bestFit="1" customWidth="1"/>
    <col min="2" max="2" width="19.85546875" style="6" bestFit="1" customWidth="1"/>
    <col min="3" max="3" width="44.7109375" style="6" bestFit="1" customWidth="1"/>
    <col min="4" max="4" width="15.5703125" style="6" bestFit="1" customWidth="1"/>
    <col min="5" max="5" width="10.42578125" style="6" bestFit="1" customWidth="1"/>
    <col min="6" max="6" width="16.28515625" style="21" bestFit="1" customWidth="1"/>
    <col min="7" max="7" width="9.140625" style="25" bestFit="1" customWidth="1"/>
    <col min="8" max="8" width="17.85546875" style="25" bestFit="1" customWidth="1"/>
    <col min="9" max="9" width="41.140625" style="16" bestFit="1" customWidth="1"/>
    <col min="10" max="10" width="11.42578125" style="6" bestFit="1" customWidth="1"/>
    <col min="11" max="11" width="28.28515625" style="6" bestFit="1" customWidth="1"/>
    <col min="12" max="12" width="18.140625" style="6" bestFit="1" customWidth="1"/>
    <col min="13" max="13" width="12.5703125" style="6" bestFit="1" customWidth="1"/>
    <col min="14" max="14" width="37.7109375" style="6" bestFit="1" customWidth="1"/>
    <col min="15" max="15" width="36.28515625" style="6" bestFit="1" customWidth="1"/>
    <col min="16" max="16" width="19.28515625" style="6" bestFit="1" customWidth="1"/>
    <col min="17" max="17" width="17.7109375" style="6" bestFit="1" customWidth="1"/>
    <col min="18" max="18" width="12.140625" style="6" bestFit="1" customWidth="1"/>
    <col min="19" max="19" width="2.140625" style="6" bestFit="1" customWidth="1"/>
    <col min="20" max="16384" width="9.140625" style="6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8" t="s">
        <v>6</v>
      </c>
      <c r="H1" s="18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5"/>
    </row>
    <row r="2" spans="1:19">
      <c r="A2" s="7" t="s">
        <v>210</v>
      </c>
      <c r="B2" s="7" t="s">
        <v>249</v>
      </c>
      <c r="C2" s="7" t="s">
        <v>211</v>
      </c>
      <c r="D2" s="7" t="s">
        <v>212</v>
      </c>
      <c r="E2" s="9">
        <v>46023</v>
      </c>
      <c r="F2" s="17">
        <v>1745</v>
      </c>
      <c r="G2" s="22">
        <v>0</v>
      </c>
      <c r="H2" s="22">
        <v>1745</v>
      </c>
      <c r="I2" s="14" t="s">
        <v>213</v>
      </c>
      <c r="J2" s="7">
        <v>13480485</v>
      </c>
      <c r="K2" s="7" t="s">
        <v>214</v>
      </c>
      <c r="L2" s="8">
        <v>25968</v>
      </c>
      <c r="M2" s="7" t="s">
        <v>123</v>
      </c>
      <c r="N2" s="7" t="s">
        <v>215</v>
      </c>
      <c r="O2" s="44"/>
      <c r="P2" s="45"/>
      <c r="Q2" s="45"/>
      <c r="R2" s="46"/>
      <c r="S2" s="7">
        <v>0</v>
      </c>
    </row>
    <row r="3" spans="1:19">
      <c r="A3" s="7" t="s">
        <v>216</v>
      </c>
      <c r="B3" s="7" t="s">
        <v>249</v>
      </c>
      <c r="C3" s="7" t="s">
        <v>671</v>
      </c>
      <c r="D3" s="7" t="s">
        <v>217</v>
      </c>
      <c r="E3" s="9">
        <v>46023</v>
      </c>
      <c r="F3" s="17">
        <v>2813.48</v>
      </c>
      <c r="G3" s="22">
        <v>0</v>
      </c>
      <c r="H3" s="22">
        <v>2813.48</v>
      </c>
      <c r="I3" s="14" t="s">
        <v>218</v>
      </c>
      <c r="J3" s="7">
        <v>17210381</v>
      </c>
      <c r="K3" s="7" t="s">
        <v>219</v>
      </c>
      <c r="L3" s="8">
        <v>32940</v>
      </c>
      <c r="M3" s="7" t="s">
        <v>24</v>
      </c>
      <c r="N3" s="7" t="s">
        <v>32</v>
      </c>
      <c r="O3" s="44"/>
      <c r="P3" s="45"/>
      <c r="Q3" s="45"/>
      <c r="R3" s="46"/>
      <c r="S3" s="7">
        <v>0</v>
      </c>
    </row>
    <row r="4" spans="1:19">
      <c r="A4" s="29" t="s">
        <v>220</v>
      </c>
      <c r="B4" s="29" t="s">
        <v>249</v>
      </c>
      <c r="C4" s="29" t="s">
        <v>221</v>
      </c>
      <c r="D4" s="29" t="s">
        <v>222</v>
      </c>
      <c r="E4" s="32">
        <v>46023</v>
      </c>
      <c r="F4" s="35">
        <v>4000</v>
      </c>
      <c r="G4" s="38">
        <v>0</v>
      </c>
      <c r="H4" s="38">
        <v>4000</v>
      </c>
      <c r="I4" s="41" t="s">
        <v>223</v>
      </c>
      <c r="J4" s="29">
        <v>14940466</v>
      </c>
      <c r="K4" s="29" t="s">
        <v>224</v>
      </c>
      <c r="L4" s="26">
        <v>23052</v>
      </c>
      <c r="M4" s="29" t="s">
        <v>197</v>
      </c>
      <c r="N4" s="29" t="s">
        <v>225</v>
      </c>
      <c r="O4" s="7" t="s">
        <v>226</v>
      </c>
      <c r="P4" s="8">
        <v>35831</v>
      </c>
      <c r="Q4" s="7" t="s">
        <v>227</v>
      </c>
      <c r="R4" s="7" t="s">
        <v>180</v>
      </c>
      <c r="S4" s="29">
        <v>2</v>
      </c>
    </row>
    <row r="5" spans="1:19">
      <c r="A5" s="31"/>
      <c r="B5" s="31"/>
      <c r="C5" s="31"/>
      <c r="D5" s="31"/>
      <c r="E5" s="34"/>
      <c r="F5" s="37"/>
      <c r="G5" s="40"/>
      <c r="H5" s="40"/>
      <c r="I5" s="43"/>
      <c r="J5" s="31"/>
      <c r="K5" s="31"/>
      <c r="L5" s="28"/>
      <c r="M5" s="31"/>
      <c r="N5" s="31"/>
      <c r="O5" s="7" t="s">
        <v>228</v>
      </c>
      <c r="P5" s="8">
        <v>37329</v>
      </c>
      <c r="Q5" s="7" t="s">
        <v>229</v>
      </c>
      <c r="R5" s="7" t="s">
        <v>180</v>
      </c>
      <c r="S5" s="31"/>
    </row>
    <row r="6" spans="1:19">
      <c r="A6" s="29" t="s">
        <v>210</v>
      </c>
      <c r="B6" s="29" t="s">
        <v>249</v>
      </c>
      <c r="C6" s="29" t="s">
        <v>221</v>
      </c>
      <c r="D6" s="29" t="s">
        <v>222</v>
      </c>
      <c r="E6" s="32">
        <v>46023</v>
      </c>
      <c r="F6" s="35">
        <v>400</v>
      </c>
      <c r="G6" s="38">
        <v>0</v>
      </c>
      <c r="H6" s="38">
        <v>400</v>
      </c>
      <c r="I6" s="41" t="s">
        <v>223</v>
      </c>
      <c r="J6" s="29">
        <v>14940466</v>
      </c>
      <c r="K6" s="29" t="s">
        <v>224</v>
      </c>
      <c r="L6" s="26">
        <v>23052</v>
      </c>
      <c r="M6" s="29" t="s">
        <v>197</v>
      </c>
      <c r="N6" s="29" t="s">
        <v>225</v>
      </c>
      <c r="O6" s="7" t="s">
        <v>226</v>
      </c>
      <c r="P6" s="8">
        <v>35831</v>
      </c>
      <c r="Q6" s="7" t="s">
        <v>227</v>
      </c>
      <c r="R6" s="7" t="s">
        <v>180</v>
      </c>
      <c r="S6" s="29">
        <v>2</v>
      </c>
    </row>
    <row r="7" spans="1:19">
      <c r="A7" s="31"/>
      <c r="B7" s="31"/>
      <c r="C7" s="31"/>
      <c r="D7" s="31"/>
      <c r="E7" s="34"/>
      <c r="F7" s="37"/>
      <c r="G7" s="40"/>
      <c r="H7" s="40"/>
      <c r="I7" s="43"/>
      <c r="J7" s="31"/>
      <c r="K7" s="31"/>
      <c r="L7" s="28"/>
      <c r="M7" s="31"/>
      <c r="N7" s="31"/>
      <c r="O7" s="7" t="s">
        <v>228</v>
      </c>
      <c r="P7" s="8">
        <v>37329</v>
      </c>
      <c r="Q7" s="7" t="s">
        <v>229</v>
      </c>
      <c r="R7" s="7" t="s">
        <v>180</v>
      </c>
      <c r="S7" s="31"/>
    </row>
    <row r="8" spans="1:19">
      <c r="A8" s="7" t="s">
        <v>230</v>
      </c>
      <c r="B8" s="7" t="s">
        <v>249</v>
      </c>
      <c r="C8" s="7" t="s">
        <v>231</v>
      </c>
      <c r="D8" s="7" t="s">
        <v>232</v>
      </c>
      <c r="E8" s="9">
        <v>46023</v>
      </c>
      <c r="F8" s="17">
        <v>2000</v>
      </c>
      <c r="G8" s="22">
        <v>0</v>
      </c>
      <c r="H8" s="22">
        <v>2000</v>
      </c>
      <c r="I8" s="14" t="s">
        <v>233</v>
      </c>
      <c r="J8" s="7">
        <v>13450038</v>
      </c>
      <c r="K8" s="7" t="s">
        <v>234</v>
      </c>
      <c r="L8" s="8">
        <v>25275</v>
      </c>
      <c r="M8" s="7" t="s">
        <v>31</v>
      </c>
      <c r="N8" s="7" t="s">
        <v>32</v>
      </c>
      <c r="O8" s="44"/>
      <c r="P8" s="45"/>
      <c r="Q8" s="45"/>
      <c r="R8" s="46"/>
      <c r="S8" s="7">
        <v>0</v>
      </c>
    </row>
    <row r="9" spans="1:19">
      <c r="A9" s="29" t="s">
        <v>235</v>
      </c>
      <c r="B9" s="29" t="s">
        <v>249</v>
      </c>
      <c r="C9" s="29" t="s">
        <v>236</v>
      </c>
      <c r="D9" s="29" t="s">
        <v>237</v>
      </c>
      <c r="E9" s="32">
        <v>46023</v>
      </c>
      <c r="F9" s="35">
        <v>4280</v>
      </c>
      <c r="G9" s="38">
        <v>0</v>
      </c>
      <c r="H9" s="38">
        <v>4280</v>
      </c>
      <c r="I9" s="41" t="s">
        <v>238</v>
      </c>
      <c r="J9" s="29">
        <v>13562030</v>
      </c>
      <c r="K9" s="29" t="s">
        <v>239</v>
      </c>
      <c r="L9" s="26">
        <v>28456</v>
      </c>
      <c r="M9" s="29" t="s">
        <v>31</v>
      </c>
      <c r="N9" s="29" t="s">
        <v>240</v>
      </c>
      <c r="O9" s="7" t="s">
        <v>241</v>
      </c>
      <c r="P9" s="8">
        <v>26738</v>
      </c>
      <c r="Q9" s="7">
        <v>14816096884</v>
      </c>
      <c r="R9" s="7" t="s">
        <v>242</v>
      </c>
      <c r="S9" s="29">
        <v>2</v>
      </c>
    </row>
    <row r="10" spans="1:19">
      <c r="A10" s="31"/>
      <c r="B10" s="31"/>
      <c r="C10" s="31"/>
      <c r="D10" s="31"/>
      <c r="E10" s="34"/>
      <c r="F10" s="37"/>
      <c r="G10" s="40"/>
      <c r="H10" s="40"/>
      <c r="I10" s="43"/>
      <c r="J10" s="31"/>
      <c r="K10" s="31"/>
      <c r="L10" s="28"/>
      <c r="M10" s="31"/>
      <c r="N10" s="31"/>
      <c r="O10" s="7" t="s">
        <v>243</v>
      </c>
      <c r="P10" s="8">
        <v>39801</v>
      </c>
      <c r="Q10" s="7">
        <v>24458838814</v>
      </c>
      <c r="R10" s="7" t="s">
        <v>158</v>
      </c>
      <c r="S10" s="31"/>
    </row>
    <row r="11" spans="1:19">
      <c r="A11" s="29" t="s">
        <v>244</v>
      </c>
      <c r="B11" s="29" t="s">
        <v>249</v>
      </c>
      <c r="C11" s="29" t="s">
        <v>236</v>
      </c>
      <c r="D11" s="29" t="s">
        <v>237</v>
      </c>
      <c r="E11" s="32">
        <v>46023</v>
      </c>
      <c r="F11" s="35">
        <v>700</v>
      </c>
      <c r="G11" s="38">
        <v>0</v>
      </c>
      <c r="H11" s="38">
        <v>700</v>
      </c>
      <c r="I11" s="41" t="s">
        <v>238</v>
      </c>
      <c r="J11" s="29">
        <v>13562030</v>
      </c>
      <c r="K11" s="29" t="s">
        <v>239</v>
      </c>
      <c r="L11" s="26">
        <v>28456</v>
      </c>
      <c r="M11" s="29" t="s">
        <v>31</v>
      </c>
      <c r="N11" s="29" t="s">
        <v>240</v>
      </c>
      <c r="O11" s="7" t="s">
        <v>241</v>
      </c>
      <c r="P11" s="8">
        <v>26738</v>
      </c>
      <c r="Q11" s="7">
        <v>14816096884</v>
      </c>
      <c r="R11" s="7" t="s">
        <v>242</v>
      </c>
      <c r="S11" s="29">
        <v>2</v>
      </c>
    </row>
    <row r="12" spans="1:19">
      <c r="A12" s="31"/>
      <c r="B12" s="31"/>
      <c r="C12" s="31"/>
      <c r="D12" s="31"/>
      <c r="E12" s="34"/>
      <c r="F12" s="37"/>
      <c r="G12" s="40"/>
      <c r="H12" s="40"/>
      <c r="I12" s="43"/>
      <c r="J12" s="31"/>
      <c r="K12" s="31"/>
      <c r="L12" s="28"/>
      <c r="M12" s="31"/>
      <c r="N12" s="31"/>
      <c r="O12" s="7" t="s">
        <v>243</v>
      </c>
      <c r="P12" s="8">
        <v>39801</v>
      </c>
      <c r="Q12" s="7">
        <v>24458838814</v>
      </c>
      <c r="R12" s="7" t="s">
        <v>158</v>
      </c>
      <c r="S12" s="31"/>
    </row>
    <row r="13" spans="1:19">
      <c r="A13" s="7" t="s">
        <v>235</v>
      </c>
      <c r="B13" s="7" t="s">
        <v>249</v>
      </c>
      <c r="C13" s="7" t="s">
        <v>245</v>
      </c>
      <c r="D13" s="7" t="s">
        <v>246</v>
      </c>
      <c r="E13" s="9">
        <v>46023</v>
      </c>
      <c r="F13" s="17">
        <v>4930</v>
      </c>
      <c r="G13" s="22">
        <v>0</v>
      </c>
      <c r="H13" s="22">
        <v>4930</v>
      </c>
      <c r="I13" s="14" t="s">
        <v>238</v>
      </c>
      <c r="J13" s="7">
        <v>13562030</v>
      </c>
      <c r="K13" s="7" t="s">
        <v>247</v>
      </c>
      <c r="L13" s="8">
        <v>26738</v>
      </c>
      <c r="M13" s="7" t="s">
        <v>24</v>
      </c>
      <c r="N13" s="7" t="s">
        <v>66</v>
      </c>
      <c r="O13" s="44"/>
      <c r="P13" s="45"/>
      <c r="Q13" s="45"/>
      <c r="R13" s="46"/>
      <c r="S13" s="7">
        <v>0</v>
      </c>
    </row>
    <row r="14" spans="1:19">
      <c r="A14" s="7" t="s">
        <v>248</v>
      </c>
      <c r="B14" s="7" t="s">
        <v>249</v>
      </c>
      <c r="C14" s="7" t="s">
        <v>672</v>
      </c>
      <c r="D14" s="7" t="s">
        <v>250</v>
      </c>
      <c r="E14" s="9">
        <v>46023</v>
      </c>
      <c r="F14" s="17">
        <v>750</v>
      </c>
      <c r="G14" s="22">
        <v>0</v>
      </c>
      <c r="H14" s="22">
        <v>750</v>
      </c>
      <c r="I14" s="14" t="s">
        <v>251</v>
      </c>
      <c r="J14" s="7">
        <v>13453717</v>
      </c>
      <c r="K14" s="7" t="s">
        <v>252</v>
      </c>
      <c r="L14" s="8">
        <v>29594</v>
      </c>
      <c r="M14" s="7" t="s">
        <v>176</v>
      </c>
      <c r="N14" s="7" t="s">
        <v>253</v>
      </c>
      <c r="O14" s="44"/>
      <c r="P14" s="45"/>
      <c r="Q14" s="45"/>
      <c r="R14" s="46"/>
      <c r="S14" s="7">
        <v>0</v>
      </c>
    </row>
    <row r="15" spans="1:19">
      <c r="A15" s="7" t="s">
        <v>254</v>
      </c>
      <c r="B15" s="7" t="s">
        <v>249</v>
      </c>
      <c r="C15" s="7" t="s">
        <v>673</v>
      </c>
      <c r="D15" s="7" t="s">
        <v>255</v>
      </c>
      <c r="E15" s="9">
        <v>46023</v>
      </c>
      <c r="F15" s="17">
        <v>300</v>
      </c>
      <c r="G15" s="22">
        <v>0</v>
      </c>
      <c r="H15" s="22">
        <v>300</v>
      </c>
      <c r="I15" s="14" t="s">
        <v>256</v>
      </c>
      <c r="J15" s="7">
        <v>13450041</v>
      </c>
      <c r="K15" s="7" t="s">
        <v>257</v>
      </c>
      <c r="L15" s="8">
        <v>23443</v>
      </c>
      <c r="M15" s="7" t="s">
        <v>258</v>
      </c>
      <c r="N15" s="7" t="s">
        <v>51</v>
      </c>
      <c r="O15" s="44"/>
      <c r="P15" s="45"/>
      <c r="Q15" s="45"/>
      <c r="R15" s="46"/>
      <c r="S15" s="7">
        <v>0</v>
      </c>
    </row>
    <row r="16" spans="1:19">
      <c r="A16" s="7" t="s">
        <v>244</v>
      </c>
      <c r="B16" s="7" t="s">
        <v>249</v>
      </c>
      <c r="C16" s="7" t="s">
        <v>674</v>
      </c>
      <c r="D16" s="7" t="s">
        <v>259</v>
      </c>
      <c r="E16" s="9">
        <v>46023</v>
      </c>
      <c r="F16" s="17">
        <v>3000</v>
      </c>
      <c r="G16" s="22">
        <v>0</v>
      </c>
      <c r="H16" s="22">
        <v>3000</v>
      </c>
      <c r="I16" s="14" t="s">
        <v>260</v>
      </c>
      <c r="J16" s="7">
        <v>13050008</v>
      </c>
      <c r="K16" s="7" t="s">
        <v>261</v>
      </c>
      <c r="L16" s="8">
        <v>18569</v>
      </c>
      <c r="M16" s="7" t="s">
        <v>262</v>
      </c>
      <c r="N16" s="7" t="s">
        <v>186</v>
      </c>
      <c r="O16" s="44"/>
      <c r="P16" s="45"/>
      <c r="Q16" s="45"/>
      <c r="R16" s="46"/>
      <c r="S16" s="7">
        <v>0</v>
      </c>
    </row>
    <row r="17" spans="1:19">
      <c r="A17" s="7" t="s">
        <v>244</v>
      </c>
      <c r="B17" s="7" t="s">
        <v>249</v>
      </c>
      <c r="C17" s="7" t="s">
        <v>675</v>
      </c>
      <c r="D17" s="7" t="s">
        <v>263</v>
      </c>
      <c r="E17" s="9">
        <v>46023</v>
      </c>
      <c r="F17" s="17">
        <v>4700</v>
      </c>
      <c r="G17" s="22">
        <v>0</v>
      </c>
      <c r="H17" s="22">
        <v>4700</v>
      </c>
      <c r="I17" s="14" t="s">
        <v>264</v>
      </c>
      <c r="J17" s="7">
        <v>13090500</v>
      </c>
      <c r="K17" s="7" t="s">
        <v>252</v>
      </c>
      <c r="L17" s="8">
        <v>31343</v>
      </c>
      <c r="M17" s="7" t="s">
        <v>123</v>
      </c>
      <c r="N17" s="7" t="s">
        <v>186</v>
      </c>
      <c r="O17" s="44"/>
      <c r="P17" s="45"/>
      <c r="Q17" s="45"/>
      <c r="R17" s="46"/>
      <c r="S17" s="7">
        <v>0</v>
      </c>
    </row>
    <row r="18" spans="1:19" ht="15">
      <c r="A18" s="7" t="s">
        <v>210</v>
      </c>
      <c r="B18" s="7" t="s">
        <v>249</v>
      </c>
      <c r="C18" s="7" t="s">
        <v>265</v>
      </c>
      <c r="D18" s="7" t="s">
        <v>266</v>
      </c>
      <c r="E18" s="9">
        <v>46023</v>
      </c>
      <c r="F18" s="17">
        <v>2100</v>
      </c>
      <c r="G18" s="22">
        <v>0</v>
      </c>
      <c r="H18" s="22">
        <v>2100</v>
      </c>
      <c r="I18" s="14" t="s">
        <v>267</v>
      </c>
      <c r="J18" s="7">
        <v>13454044</v>
      </c>
      <c r="K18" s="7" t="s">
        <v>268</v>
      </c>
      <c r="L18" s="8">
        <v>19255</v>
      </c>
      <c r="M18" s="7" t="s">
        <v>197</v>
      </c>
      <c r="N18" s="7" t="s">
        <v>269</v>
      </c>
      <c r="O18" s="44"/>
      <c r="P18" s="45"/>
      <c r="Q18" s="45"/>
      <c r="R18" s="46"/>
      <c r="S18" s="7">
        <v>0</v>
      </c>
    </row>
    <row r="19" spans="1:19">
      <c r="A19" s="7" t="s">
        <v>210</v>
      </c>
      <c r="B19" s="7" t="s">
        <v>249</v>
      </c>
      <c r="C19" s="7" t="s">
        <v>676</v>
      </c>
      <c r="D19" s="7" t="s">
        <v>270</v>
      </c>
      <c r="E19" s="9">
        <v>46023</v>
      </c>
      <c r="F19" s="17">
        <v>2100</v>
      </c>
      <c r="G19" s="22">
        <v>0</v>
      </c>
      <c r="H19" s="22">
        <v>2100</v>
      </c>
      <c r="I19" s="14" t="s">
        <v>267</v>
      </c>
      <c r="J19" s="7">
        <v>13454044</v>
      </c>
      <c r="K19" s="7" t="s">
        <v>268</v>
      </c>
      <c r="L19" s="8">
        <v>19473</v>
      </c>
      <c r="M19" s="7" t="s">
        <v>176</v>
      </c>
      <c r="N19" s="7" t="s">
        <v>271</v>
      </c>
      <c r="O19" s="44"/>
      <c r="P19" s="45"/>
      <c r="Q19" s="45"/>
      <c r="R19" s="46"/>
      <c r="S19" s="7">
        <v>0</v>
      </c>
    </row>
    <row r="20" spans="1:19" ht="15">
      <c r="A20" s="7" t="s">
        <v>210</v>
      </c>
      <c r="B20" s="7" t="s">
        <v>249</v>
      </c>
      <c r="C20" s="7" t="s">
        <v>677</v>
      </c>
      <c r="D20" s="7" t="s">
        <v>272</v>
      </c>
      <c r="E20" s="9">
        <v>46023</v>
      </c>
      <c r="F20" s="17">
        <v>500</v>
      </c>
      <c r="G20" s="22">
        <v>0</v>
      </c>
      <c r="H20" s="22">
        <v>500</v>
      </c>
      <c r="I20" s="14" t="s">
        <v>273</v>
      </c>
      <c r="J20" s="7">
        <v>13450041</v>
      </c>
      <c r="K20" s="7" t="s">
        <v>268</v>
      </c>
      <c r="L20" s="8">
        <v>34966</v>
      </c>
      <c r="M20" s="7" t="s">
        <v>197</v>
      </c>
      <c r="N20" s="7" t="s">
        <v>269</v>
      </c>
      <c r="O20" s="44"/>
      <c r="P20" s="45"/>
      <c r="Q20" s="45"/>
      <c r="R20" s="46"/>
      <c r="S20" s="7">
        <v>0</v>
      </c>
    </row>
    <row r="21" spans="1:19" ht="15">
      <c r="A21" s="7" t="s">
        <v>210</v>
      </c>
      <c r="B21" s="7" t="s">
        <v>249</v>
      </c>
      <c r="C21" s="7" t="s">
        <v>678</v>
      </c>
      <c r="D21" s="7" t="s">
        <v>274</v>
      </c>
      <c r="E21" s="9">
        <v>46023</v>
      </c>
      <c r="F21" s="17">
        <v>300</v>
      </c>
      <c r="G21" s="22">
        <v>0</v>
      </c>
      <c r="H21" s="22">
        <v>300</v>
      </c>
      <c r="I21" s="14" t="s">
        <v>275</v>
      </c>
      <c r="J21" s="7">
        <v>13481745</v>
      </c>
      <c r="K21" s="7" t="s">
        <v>214</v>
      </c>
      <c r="L21" s="8">
        <v>36053</v>
      </c>
      <c r="M21" s="7" t="s">
        <v>197</v>
      </c>
      <c r="N21" s="7" t="s">
        <v>276</v>
      </c>
      <c r="O21" s="44"/>
      <c r="P21" s="45"/>
      <c r="Q21" s="45"/>
      <c r="R21" s="46"/>
      <c r="S21" s="7">
        <v>0</v>
      </c>
    </row>
    <row r="22" spans="1:19">
      <c r="A22" s="7" t="s">
        <v>210</v>
      </c>
      <c r="B22" s="7" t="s">
        <v>249</v>
      </c>
      <c r="C22" s="7" t="s">
        <v>679</v>
      </c>
      <c r="D22" s="7" t="s">
        <v>277</v>
      </c>
      <c r="E22" s="9">
        <v>46023</v>
      </c>
      <c r="F22" s="17">
        <v>530</v>
      </c>
      <c r="G22" s="22">
        <v>0</v>
      </c>
      <c r="H22" s="22">
        <v>530</v>
      </c>
      <c r="I22" s="14" t="s">
        <v>278</v>
      </c>
      <c r="J22" s="7">
        <v>13480316</v>
      </c>
      <c r="K22" s="7" t="s">
        <v>36</v>
      </c>
      <c r="L22" s="8">
        <v>36290</v>
      </c>
      <c r="M22" s="7" t="s">
        <v>176</v>
      </c>
      <c r="N22" s="7" t="s">
        <v>269</v>
      </c>
      <c r="O22" s="44"/>
      <c r="P22" s="45"/>
      <c r="Q22" s="45"/>
      <c r="R22" s="46"/>
      <c r="S22" s="7">
        <v>0</v>
      </c>
    </row>
    <row r="23" spans="1:19">
      <c r="A23" s="7" t="s">
        <v>279</v>
      </c>
      <c r="B23" s="7" t="s">
        <v>249</v>
      </c>
      <c r="C23" s="7" t="s">
        <v>680</v>
      </c>
      <c r="D23" s="7" t="s">
        <v>280</v>
      </c>
      <c r="E23" s="9">
        <v>46023</v>
      </c>
      <c r="F23" s="17">
        <v>600</v>
      </c>
      <c r="G23" s="22">
        <v>0</v>
      </c>
      <c r="H23" s="22">
        <v>600</v>
      </c>
      <c r="I23" s="14" t="s">
        <v>281</v>
      </c>
      <c r="J23" s="7">
        <v>18681080</v>
      </c>
      <c r="K23" s="7" t="s">
        <v>282</v>
      </c>
      <c r="L23" s="8">
        <v>13678</v>
      </c>
      <c r="M23" s="7" t="s">
        <v>146</v>
      </c>
      <c r="N23" s="7" t="s">
        <v>283</v>
      </c>
      <c r="O23" s="44"/>
      <c r="P23" s="45"/>
      <c r="Q23" s="45"/>
      <c r="R23" s="46"/>
      <c r="S23" s="7">
        <v>0</v>
      </c>
    </row>
    <row r="24" spans="1:19" ht="15">
      <c r="A24" s="7" t="s">
        <v>210</v>
      </c>
      <c r="B24" s="7" t="s">
        <v>249</v>
      </c>
      <c r="C24" s="7" t="s">
        <v>284</v>
      </c>
      <c r="D24" s="7" t="s">
        <v>285</v>
      </c>
      <c r="E24" s="9">
        <v>46023</v>
      </c>
      <c r="F24" s="17">
        <v>2000</v>
      </c>
      <c r="G24" s="22">
        <v>0</v>
      </c>
      <c r="H24" s="22">
        <v>2000</v>
      </c>
      <c r="I24" s="14" t="s">
        <v>286</v>
      </c>
      <c r="J24" s="7">
        <v>13484538</v>
      </c>
      <c r="K24" s="7" t="s">
        <v>287</v>
      </c>
      <c r="L24" s="8">
        <v>22623</v>
      </c>
      <c r="M24" s="7" t="s">
        <v>176</v>
      </c>
      <c r="N24" s="7" t="s">
        <v>271</v>
      </c>
      <c r="O24" s="44"/>
      <c r="P24" s="45"/>
      <c r="Q24" s="45"/>
      <c r="R24" s="46"/>
      <c r="S24" s="7">
        <v>0</v>
      </c>
    </row>
    <row r="25" spans="1:19">
      <c r="A25" s="7" t="s">
        <v>288</v>
      </c>
      <c r="B25" s="7" t="s">
        <v>249</v>
      </c>
      <c r="C25" s="7" t="s">
        <v>289</v>
      </c>
      <c r="D25" s="7" t="s">
        <v>290</v>
      </c>
      <c r="E25" s="9">
        <v>46023</v>
      </c>
      <c r="F25" s="17">
        <v>2300</v>
      </c>
      <c r="G25" s="22">
        <v>0</v>
      </c>
      <c r="H25" s="22">
        <v>2300</v>
      </c>
      <c r="I25" s="14" t="s">
        <v>291</v>
      </c>
      <c r="J25" s="7">
        <v>13995000</v>
      </c>
      <c r="K25" s="7" t="s">
        <v>292</v>
      </c>
      <c r="L25" s="8">
        <v>32267</v>
      </c>
      <c r="M25" s="7" t="s">
        <v>24</v>
      </c>
      <c r="N25" s="7" t="s">
        <v>37</v>
      </c>
      <c r="O25" s="44"/>
      <c r="P25" s="45"/>
      <c r="Q25" s="45"/>
      <c r="R25" s="46"/>
      <c r="S25" s="7">
        <v>0</v>
      </c>
    </row>
    <row r="26" spans="1:19">
      <c r="A26" s="7" t="s">
        <v>279</v>
      </c>
      <c r="B26" s="7" t="s">
        <v>249</v>
      </c>
      <c r="C26" s="7" t="s">
        <v>293</v>
      </c>
      <c r="D26" s="7" t="s">
        <v>294</v>
      </c>
      <c r="E26" s="9">
        <v>46023</v>
      </c>
      <c r="F26" s="17">
        <v>2400</v>
      </c>
      <c r="G26" s="22">
        <v>0</v>
      </c>
      <c r="H26" s="22">
        <v>2400</v>
      </c>
      <c r="I26" s="14" t="s">
        <v>295</v>
      </c>
      <c r="J26" s="7">
        <v>69049071</v>
      </c>
      <c r="K26" s="7" t="s">
        <v>296</v>
      </c>
      <c r="L26" s="8">
        <v>33821</v>
      </c>
      <c r="M26" s="7" t="s">
        <v>31</v>
      </c>
      <c r="N26" s="7" t="s">
        <v>51</v>
      </c>
      <c r="O26" s="44"/>
      <c r="P26" s="45"/>
      <c r="Q26" s="45"/>
      <c r="R26" s="46"/>
      <c r="S26" s="7">
        <v>0</v>
      </c>
    </row>
    <row r="27" spans="1:19" ht="15">
      <c r="A27" s="7" t="s">
        <v>248</v>
      </c>
      <c r="B27" s="7" t="s">
        <v>249</v>
      </c>
      <c r="C27" s="7" t="s">
        <v>681</v>
      </c>
      <c r="D27" s="7" t="s">
        <v>297</v>
      </c>
      <c r="E27" s="9">
        <v>46023</v>
      </c>
      <c r="F27" s="17">
        <v>500</v>
      </c>
      <c r="G27" s="22">
        <v>0</v>
      </c>
      <c r="H27" s="22">
        <v>500</v>
      </c>
      <c r="I27" s="14" t="s">
        <v>298</v>
      </c>
      <c r="J27" s="7">
        <v>13472560</v>
      </c>
      <c r="K27" s="7" t="s">
        <v>299</v>
      </c>
      <c r="L27" s="8">
        <v>39226</v>
      </c>
      <c r="M27" s="7" t="s">
        <v>123</v>
      </c>
      <c r="N27" s="7" t="s">
        <v>276</v>
      </c>
      <c r="O27" s="44"/>
      <c r="P27" s="45"/>
      <c r="Q27" s="45"/>
      <c r="R27" s="46"/>
      <c r="S27" s="7">
        <v>0</v>
      </c>
    </row>
    <row r="28" spans="1:19">
      <c r="A28" s="7" t="s">
        <v>235</v>
      </c>
      <c r="B28" s="7" t="s">
        <v>249</v>
      </c>
      <c r="C28" s="7" t="s">
        <v>300</v>
      </c>
      <c r="D28" s="7" t="s">
        <v>301</v>
      </c>
      <c r="E28" s="9">
        <v>46023</v>
      </c>
      <c r="F28" s="17">
        <v>2180</v>
      </c>
      <c r="G28" s="22">
        <v>0</v>
      </c>
      <c r="H28" s="22">
        <v>2180</v>
      </c>
      <c r="I28" s="14" t="s">
        <v>302</v>
      </c>
      <c r="J28" s="7">
        <v>13571385</v>
      </c>
      <c r="K28" s="7" t="s">
        <v>303</v>
      </c>
      <c r="L28" s="8">
        <v>32146</v>
      </c>
      <c r="M28" s="7" t="s">
        <v>31</v>
      </c>
      <c r="N28" s="7" t="s">
        <v>304</v>
      </c>
      <c r="O28" s="44"/>
      <c r="P28" s="45"/>
      <c r="Q28" s="45"/>
      <c r="R28" s="46"/>
      <c r="S28" s="7">
        <v>0</v>
      </c>
    </row>
    <row r="29" spans="1:19">
      <c r="A29" s="7" t="s">
        <v>305</v>
      </c>
      <c r="B29" s="7" t="s">
        <v>249</v>
      </c>
      <c r="C29" s="7" t="s">
        <v>306</v>
      </c>
      <c r="D29" s="7" t="s">
        <v>307</v>
      </c>
      <c r="E29" s="9">
        <v>46023</v>
      </c>
      <c r="F29" s="17">
        <v>1500</v>
      </c>
      <c r="G29" s="22">
        <v>0</v>
      </c>
      <c r="H29" s="22">
        <v>1500</v>
      </c>
      <c r="I29" s="14" t="s">
        <v>308</v>
      </c>
      <c r="J29" s="7">
        <v>13150000</v>
      </c>
      <c r="K29" s="7" t="s">
        <v>309</v>
      </c>
      <c r="L29" s="8">
        <v>23754</v>
      </c>
      <c r="M29" s="7" t="s">
        <v>31</v>
      </c>
      <c r="N29" s="7" t="s">
        <v>37</v>
      </c>
      <c r="O29" s="44"/>
      <c r="P29" s="45"/>
      <c r="Q29" s="45"/>
      <c r="R29" s="46"/>
      <c r="S29" s="7">
        <v>0</v>
      </c>
    </row>
    <row r="30" spans="1:19">
      <c r="A30" s="7" t="s">
        <v>310</v>
      </c>
      <c r="B30" s="7" t="s">
        <v>249</v>
      </c>
      <c r="C30" s="7" t="s">
        <v>682</v>
      </c>
      <c r="D30" s="7" t="s">
        <v>311</v>
      </c>
      <c r="E30" s="9">
        <v>46023</v>
      </c>
      <c r="F30" s="17">
        <v>1800</v>
      </c>
      <c r="G30" s="22">
        <v>0</v>
      </c>
      <c r="H30" s="22">
        <v>1800</v>
      </c>
      <c r="I30" s="14" t="s">
        <v>312</v>
      </c>
      <c r="J30" s="7">
        <v>13562820</v>
      </c>
      <c r="K30" s="7" t="s">
        <v>313</v>
      </c>
      <c r="L30" s="8">
        <v>30547</v>
      </c>
      <c r="M30" s="7" t="s">
        <v>146</v>
      </c>
      <c r="N30" s="7" t="s">
        <v>314</v>
      </c>
      <c r="O30" s="44"/>
      <c r="P30" s="45"/>
      <c r="Q30" s="45"/>
      <c r="R30" s="46"/>
      <c r="S30" s="7">
        <v>0</v>
      </c>
    </row>
    <row r="31" spans="1:19">
      <c r="A31" s="7" t="s">
        <v>305</v>
      </c>
      <c r="B31" s="7" t="s">
        <v>249</v>
      </c>
      <c r="C31" s="7" t="s">
        <v>315</v>
      </c>
      <c r="D31" s="7" t="s">
        <v>316</v>
      </c>
      <c r="E31" s="9">
        <v>46023</v>
      </c>
      <c r="F31" s="17">
        <v>900</v>
      </c>
      <c r="G31" s="22">
        <v>0</v>
      </c>
      <c r="H31" s="22">
        <v>900</v>
      </c>
      <c r="I31" s="14" t="s">
        <v>317</v>
      </c>
      <c r="J31" s="7">
        <v>13154272</v>
      </c>
      <c r="K31" s="7" t="s">
        <v>252</v>
      </c>
      <c r="L31" s="8">
        <v>29610</v>
      </c>
      <c r="M31" s="7" t="s">
        <v>204</v>
      </c>
      <c r="N31" s="7" t="s">
        <v>62</v>
      </c>
      <c r="O31" s="44"/>
      <c r="P31" s="45"/>
      <c r="Q31" s="45"/>
      <c r="R31" s="46"/>
      <c r="S31" s="7">
        <v>0</v>
      </c>
    </row>
    <row r="32" spans="1:19">
      <c r="A32" s="7" t="s">
        <v>305</v>
      </c>
      <c r="B32" s="7" t="s">
        <v>249</v>
      </c>
      <c r="C32" s="7" t="s">
        <v>683</v>
      </c>
      <c r="D32" s="7" t="s">
        <v>318</v>
      </c>
      <c r="E32" s="9">
        <v>46023</v>
      </c>
      <c r="F32" s="17">
        <v>500</v>
      </c>
      <c r="G32" s="22">
        <v>0</v>
      </c>
      <c r="H32" s="22">
        <v>500</v>
      </c>
      <c r="I32" s="14" t="s">
        <v>319</v>
      </c>
      <c r="J32" s="7">
        <v>13453015</v>
      </c>
      <c r="K32" s="7" t="s">
        <v>320</v>
      </c>
      <c r="L32" s="8">
        <v>32328</v>
      </c>
      <c r="M32" s="7" t="s">
        <v>31</v>
      </c>
      <c r="N32" s="7" t="s">
        <v>321</v>
      </c>
      <c r="O32" s="44"/>
      <c r="P32" s="45"/>
      <c r="Q32" s="45"/>
      <c r="R32" s="46"/>
      <c r="S32" s="7">
        <v>0</v>
      </c>
    </row>
    <row r="33" spans="1:19">
      <c r="A33" s="7" t="s">
        <v>248</v>
      </c>
      <c r="B33" s="7" t="s">
        <v>249</v>
      </c>
      <c r="C33" s="7" t="s">
        <v>684</v>
      </c>
      <c r="D33" s="7" t="s">
        <v>322</v>
      </c>
      <c r="E33" s="9">
        <v>46023</v>
      </c>
      <c r="F33" s="17">
        <v>2277</v>
      </c>
      <c r="G33" s="22">
        <v>0</v>
      </c>
      <c r="H33" s="22">
        <v>2277</v>
      </c>
      <c r="I33" s="14" t="s">
        <v>323</v>
      </c>
      <c r="J33" s="7">
        <v>13473020</v>
      </c>
      <c r="K33" s="7" t="s">
        <v>324</v>
      </c>
      <c r="L33" s="8">
        <v>34906</v>
      </c>
      <c r="M33" s="7" t="s">
        <v>325</v>
      </c>
      <c r="N33" s="7" t="s">
        <v>37</v>
      </c>
      <c r="O33" s="44"/>
      <c r="P33" s="45"/>
      <c r="Q33" s="45"/>
      <c r="R33" s="46"/>
      <c r="S33" s="7">
        <v>0</v>
      </c>
    </row>
    <row r="34" spans="1:19">
      <c r="A34" s="7" t="s">
        <v>248</v>
      </c>
      <c r="B34" s="7" t="s">
        <v>249</v>
      </c>
      <c r="C34" s="7" t="s">
        <v>685</v>
      </c>
      <c r="D34" s="7" t="s">
        <v>326</v>
      </c>
      <c r="E34" s="9">
        <v>46023</v>
      </c>
      <c r="F34" s="17">
        <v>2040.82</v>
      </c>
      <c r="G34" s="22">
        <v>0</v>
      </c>
      <c r="H34" s="22">
        <v>2040.82</v>
      </c>
      <c r="I34" s="14" t="s">
        <v>327</v>
      </c>
      <c r="J34" s="7" t="s">
        <v>328</v>
      </c>
      <c r="K34" s="7" t="s">
        <v>23</v>
      </c>
      <c r="L34" s="8">
        <v>34969</v>
      </c>
      <c r="M34" s="7" t="s">
        <v>31</v>
      </c>
      <c r="N34" s="7" t="s">
        <v>329</v>
      </c>
      <c r="O34" s="44"/>
      <c r="P34" s="45"/>
      <c r="Q34" s="45"/>
      <c r="R34" s="46"/>
      <c r="S34" s="7">
        <v>0</v>
      </c>
    </row>
    <row r="35" spans="1:19">
      <c r="A35" s="7" t="s">
        <v>248</v>
      </c>
      <c r="B35" s="7" t="s">
        <v>249</v>
      </c>
      <c r="C35" s="7" t="s">
        <v>330</v>
      </c>
      <c r="D35" s="7" t="s">
        <v>331</v>
      </c>
      <c r="E35" s="9">
        <v>46023</v>
      </c>
      <c r="F35" s="17">
        <v>1000</v>
      </c>
      <c r="G35" s="22">
        <v>0</v>
      </c>
      <c r="H35" s="22">
        <v>1000</v>
      </c>
      <c r="I35" s="14" t="s">
        <v>332</v>
      </c>
      <c r="J35" s="7">
        <v>69830000</v>
      </c>
      <c r="K35" s="7" t="s">
        <v>333</v>
      </c>
      <c r="L35" s="8">
        <v>27510</v>
      </c>
      <c r="M35" s="7" t="s">
        <v>146</v>
      </c>
      <c r="N35" s="7" t="s">
        <v>321</v>
      </c>
      <c r="O35" s="44"/>
      <c r="P35" s="45"/>
      <c r="Q35" s="45"/>
      <c r="R35" s="46"/>
      <c r="S35" s="7">
        <v>0</v>
      </c>
    </row>
    <row r="36" spans="1:19">
      <c r="A36" s="7" t="s">
        <v>220</v>
      </c>
      <c r="B36" s="7" t="s">
        <v>249</v>
      </c>
      <c r="C36" s="7" t="s">
        <v>686</v>
      </c>
      <c r="D36" s="7" t="s">
        <v>334</v>
      </c>
      <c r="E36" s="9">
        <v>46023</v>
      </c>
      <c r="F36" s="17">
        <v>300</v>
      </c>
      <c r="G36" s="22">
        <v>0</v>
      </c>
      <c r="H36" s="22">
        <v>300</v>
      </c>
      <c r="I36" s="14" t="s">
        <v>335</v>
      </c>
      <c r="J36" s="7">
        <v>14940000</v>
      </c>
      <c r="K36" s="7" t="s">
        <v>108</v>
      </c>
      <c r="L36" s="8">
        <v>30458</v>
      </c>
      <c r="M36" s="7" t="s">
        <v>31</v>
      </c>
      <c r="N36" s="7" t="s">
        <v>336</v>
      </c>
      <c r="O36" s="44"/>
      <c r="P36" s="45"/>
      <c r="Q36" s="45"/>
      <c r="R36" s="46"/>
      <c r="S36" s="7">
        <v>0</v>
      </c>
    </row>
    <row r="37" spans="1:19" ht="15">
      <c r="A37" s="7" t="s">
        <v>254</v>
      </c>
      <c r="B37" s="7" t="s">
        <v>249</v>
      </c>
      <c r="C37" s="7" t="s">
        <v>337</v>
      </c>
      <c r="D37" s="7" t="s">
        <v>338</v>
      </c>
      <c r="E37" s="9">
        <v>46023</v>
      </c>
      <c r="F37" s="17">
        <v>3100</v>
      </c>
      <c r="G37" s="22">
        <v>0</v>
      </c>
      <c r="H37" s="22">
        <v>3100</v>
      </c>
      <c r="I37" s="14" t="s">
        <v>339</v>
      </c>
      <c r="J37" s="7">
        <v>13450017</v>
      </c>
      <c r="K37" s="7" t="s">
        <v>340</v>
      </c>
      <c r="L37" s="8">
        <v>24242</v>
      </c>
      <c r="M37" s="7" t="s">
        <v>325</v>
      </c>
      <c r="N37" s="7" t="s">
        <v>62</v>
      </c>
      <c r="O37" s="44"/>
      <c r="P37" s="45"/>
      <c r="Q37" s="45"/>
      <c r="R37" s="46"/>
      <c r="S37" s="7">
        <v>0</v>
      </c>
    </row>
    <row r="38" spans="1:19" ht="15">
      <c r="A38" s="7" t="s">
        <v>254</v>
      </c>
      <c r="B38" s="7" t="s">
        <v>249</v>
      </c>
      <c r="C38" s="7" t="s">
        <v>341</v>
      </c>
      <c r="D38" s="7" t="s">
        <v>342</v>
      </c>
      <c r="E38" s="9">
        <v>46023</v>
      </c>
      <c r="F38" s="17">
        <v>4356</v>
      </c>
      <c r="G38" s="22">
        <v>0</v>
      </c>
      <c r="H38" s="22">
        <v>4356</v>
      </c>
      <c r="I38" s="14" t="s">
        <v>343</v>
      </c>
      <c r="J38" s="7">
        <v>13450017</v>
      </c>
      <c r="K38" s="7" t="s">
        <v>344</v>
      </c>
      <c r="L38" s="8">
        <v>23883</v>
      </c>
      <c r="M38" s="7" t="s">
        <v>197</v>
      </c>
      <c r="N38" s="7" t="s">
        <v>269</v>
      </c>
      <c r="O38" s="44"/>
      <c r="P38" s="45"/>
      <c r="Q38" s="45"/>
      <c r="R38" s="46"/>
      <c r="S38" s="7">
        <v>0</v>
      </c>
    </row>
    <row r="39" spans="1:19">
      <c r="A39" s="7" t="s">
        <v>288</v>
      </c>
      <c r="B39" s="7" t="s">
        <v>249</v>
      </c>
      <c r="C39" s="7" t="s">
        <v>687</v>
      </c>
      <c r="D39" s="7" t="s">
        <v>345</v>
      </c>
      <c r="E39" s="9">
        <v>46023</v>
      </c>
      <c r="F39" s="17">
        <v>800</v>
      </c>
      <c r="G39" s="22">
        <v>0</v>
      </c>
      <c r="H39" s="22">
        <v>800</v>
      </c>
      <c r="I39" s="14" t="s">
        <v>346</v>
      </c>
      <c r="J39" s="7">
        <v>13990000</v>
      </c>
      <c r="K39" s="7" t="s">
        <v>292</v>
      </c>
      <c r="L39" s="8">
        <v>31369</v>
      </c>
      <c r="M39" s="7" t="s">
        <v>24</v>
      </c>
      <c r="N39" s="7" t="s">
        <v>46</v>
      </c>
      <c r="O39" s="44"/>
      <c r="P39" s="45"/>
      <c r="Q39" s="45"/>
      <c r="R39" s="46"/>
      <c r="S39" s="7">
        <v>0</v>
      </c>
    </row>
    <row r="40" spans="1:19">
      <c r="A40" s="7" t="s">
        <v>254</v>
      </c>
      <c r="B40" s="7" t="s">
        <v>249</v>
      </c>
      <c r="C40" s="7" t="s">
        <v>347</v>
      </c>
      <c r="D40" s="7" t="s">
        <v>348</v>
      </c>
      <c r="E40" s="9">
        <v>46023</v>
      </c>
      <c r="F40" s="17">
        <v>1500</v>
      </c>
      <c r="G40" s="22">
        <v>0</v>
      </c>
      <c r="H40" s="22">
        <v>1500</v>
      </c>
      <c r="I40" s="14" t="s">
        <v>349</v>
      </c>
      <c r="J40" s="7">
        <v>13456086</v>
      </c>
      <c r="K40" s="7" t="s">
        <v>36</v>
      </c>
      <c r="L40" s="8">
        <v>16575</v>
      </c>
      <c r="M40" s="7" t="s">
        <v>146</v>
      </c>
      <c r="N40" s="7" t="s">
        <v>350</v>
      </c>
      <c r="O40" s="44"/>
      <c r="P40" s="45"/>
      <c r="Q40" s="45"/>
      <c r="R40" s="46"/>
      <c r="S40" s="7">
        <v>0</v>
      </c>
    </row>
    <row r="41" spans="1:19">
      <c r="A41" s="7" t="s">
        <v>210</v>
      </c>
      <c r="B41" s="7" t="s">
        <v>249</v>
      </c>
      <c r="C41" s="7" t="s">
        <v>347</v>
      </c>
      <c r="D41" s="7" t="s">
        <v>348</v>
      </c>
      <c r="E41" s="9">
        <v>46023</v>
      </c>
      <c r="F41" s="17">
        <v>500</v>
      </c>
      <c r="G41" s="22">
        <v>0</v>
      </c>
      <c r="H41" s="22">
        <v>500</v>
      </c>
      <c r="I41" s="14" t="s">
        <v>349</v>
      </c>
      <c r="J41" s="7">
        <v>13456086</v>
      </c>
      <c r="K41" s="7" t="s">
        <v>36</v>
      </c>
      <c r="L41" s="8">
        <v>16575</v>
      </c>
      <c r="M41" s="7" t="s">
        <v>146</v>
      </c>
      <c r="N41" s="7" t="s">
        <v>350</v>
      </c>
      <c r="O41" s="44"/>
      <c r="P41" s="45"/>
      <c r="Q41" s="45"/>
      <c r="R41" s="46"/>
      <c r="S41" s="7">
        <v>0</v>
      </c>
    </row>
    <row r="42" spans="1:19">
      <c r="A42" s="7" t="s">
        <v>254</v>
      </c>
      <c r="B42" s="7" t="s">
        <v>249</v>
      </c>
      <c r="C42" s="7" t="s">
        <v>351</v>
      </c>
      <c r="D42" s="7" t="s">
        <v>352</v>
      </c>
      <c r="E42" s="9">
        <v>46023</v>
      </c>
      <c r="F42" s="17">
        <v>1500</v>
      </c>
      <c r="G42" s="22">
        <v>0</v>
      </c>
      <c r="H42" s="22">
        <v>1500</v>
      </c>
      <c r="I42" s="14" t="s">
        <v>349</v>
      </c>
      <c r="J42" s="7">
        <v>13456086</v>
      </c>
      <c r="K42" s="7" t="s">
        <v>353</v>
      </c>
      <c r="L42" s="8">
        <v>17449</v>
      </c>
      <c r="M42" s="7" t="s">
        <v>325</v>
      </c>
      <c r="N42" s="7" t="s">
        <v>354</v>
      </c>
      <c r="O42" s="44"/>
      <c r="P42" s="45"/>
      <c r="Q42" s="45"/>
      <c r="R42" s="46"/>
      <c r="S42" s="7">
        <v>0</v>
      </c>
    </row>
    <row r="43" spans="1:19" ht="15">
      <c r="A43" s="7" t="s">
        <v>254</v>
      </c>
      <c r="B43" s="7" t="s">
        <v>249</v>
      </c>
      <c r="C43" s="7" t="s">
        <v>688</v>
      </c>
      <c r="D43" s="7" t="s">
        <v>355</v>
      </c>
      <c r="E43" s="9">
        <v>46023</v>
      </c>
      <c r="F43" s="17">
        <v>1500</v>
      </c>
      <c r="G43" s="22">
        <v>0</v>
      </c>
      <c r="H43" s="22">
        <v>1500</v>
      </c>
      <c r="I43" s="14" t="s">
        <v>356</v>
      </c>
      <c r="J43" s="7">
        <v>13468862</v>
      </c>
      <c r="K43" s="7" t="s">
        <v>357</v>
      </c>
      <c r="L43" s="8">
        <v>35275</v>
      </c>
      <c r="M43" s="7" t="s">
        <v>31</v>
      </c>
      <c r="N43" s="7" t="s">
        <v>37</v>
      </c>
      <c r="O43" s="44"/>
      <c r="P43" s="45"/>
      <c r="Q43" s="45"/>
      <c r="R43" s="46"/>
      <c r="S43" s="7">
        <v>0</v>
      </c>
    </row>
    <row r="44" spans="1:19">
      <c r="A44" s="7" t="s">
        <v>254</v>
      </c>
      <c r="B44" s="7" t="s">
        <v>249</v>
      </c>
      <c r="C44" s="7" t="s">
        <v>689</v>
      </c>
      <c r="D44" s="7" t="s">
        <v>358</v>
      </c>
      <c r="E44" s="9">
        <v>46023</v>
      </c>
      <c r="F44" s="17">
        <v>1500</v>
      </c>
      <c r="G44" s="22">
        <v>0</v>
      </c>
      <c r="H44" s="22">
        <v>1500</v>
      </c>
      <c r="I44" s="14" t="s">
        <v>359</v>
      </c>
      <c r="J44" s="7">
        <v>13478710</v>
      </c>
      <c r="K44" s="7" t="s">
        <v>360</v>
      </c>
      <c r="L44" s="8">
        <v>33406</v>
      </c>
      <c r="M44" s="7" t="s">
        <v>138</v>
      </c>
      <c r="N44" s="7" t="s">
        <v>361</v>
      </c>
      <c r="O44" s="44"/>
      <c r="P44" s="45"/>
      <c r="Q44" s="45"/>
      <c r="R44" s="46"/>
      <c r="S44" s="7">
        <v>0</v>
      </c>
    </row>
    <row r="45" spans="1:19">
      <c r="A45" s="7" t="s">
        <v>220</v>
      </c>
      <c r="B45" s="7" t="s">
        <v>249</v>
      </c>
      <c r="C45" s="7" t="s">
        <v>362</v>
      </c>
      <c r="D45" s="7" t="s">
        <v>363</v>
      </c>
      <c r="E45" s="9">
        <v>46023</v>
      </c>
      <c r="F45" s="17">
        <v>400</v>
      </c>
      <c r="G45" s="22">
        <v>0</v>
      </c>
      <c r="H45" s="22">
        <v>400</v>
      </c>
      <c r="I45" s="14" t="s">
        <v>364</v>
      </c>
      <c r="J45" s="7">
        <v>13482245</v>
      </c>
      <c r="K45" s="7" t="s">
        <v>268</v>
      </c>
      <c r="L45" s="8">
        <v>26940</v>
      </c>
      <c r="M45" s="7" t="s">
        <v>197</v>
      </c>
      <c r="N45" s="7" t="s">
        <v>269</v>
      </c>
      <c r="O45" s="44"/>
      <c r="P45" s="45"/>
      <c r="Q45" s="45"/>
      <c r="R45" s="46"/>
      <c r="S45" s="7">
        <v>0</v>
      </c>
    </row>
    <row r="46" spans="1:19">
      <c r="A46" s="7" t="s">
        <v>235</v>
      </c>
      <c r="B46" s="7" t="s">
        <v>249</v>
      </c>
      <c r="C46" s="7" t="s">
        <v>690</v>
      </c>
      <c r="D46" s="7" t="s">
        <v>365</v>
      </c>
      <c r="E46" s="9">
        <v>46023</v>
      </c>
      <c r="F46" s="17">
        <v>800</v>
      </c>
      <c r="G46" s="22">
        <v>0</v>
      </c>
      <c r="H46" s="22">
        <v>800</v>
      </c>
      <c r="I46" s="14" t="s">
        <v>366</v>
      </c>
      <c r="J46" s="7">
        <v>13562530</v>
      </c>
      <c r="K46" s="7" t="s">
        <v>367</v>
      </c>
      <c r="L46" s="8">
        <v>35780</v>
      </c>
      <c r="M46" s="7" t="s">
        <v>368</v>
      </c>
      <c r="N46" s="7" t="s">
        <v>304</v>
      </c>
      <c r="O46" s="44"/>
      <c r="P46" s="45"/>
      <c r="Q46" s="45"/>
      <c r="R46" s="46"/>
      <c r="S46" s="7">
        <v>0</v>
      </c>
    </row>
    <row r="47" spans="1:19">
      <c r="A47" s="7" t="s">
        <v>220</v>
      </c>
      <c r="B47" s="7" t="s">
        <v>249</v>
      </c>
      <c r="C47" s="7" t="s">
        <v>691</v>
      </c>
      <c r="D47" s="7" t="s">
        <v>369</v>
      </c>
      <c r="E47" s="9">
        <v>46023</v>
      </c>
      <c r="F47" s="17">
        <v>4500</v>
      </c>
      <c r="G47" s="22">
        <v>0</v>
      </c>
      <c r="H47" s="22">
        <v>4500</v>
      </c>
      <c r="I47" s="14" t="s">
        <v>370</v>
      </c>
      <c r="J47" s="7">
        <v>14940074</v>
      </c>
      <c r="K47" s="7" t="s">
        <v>371</v>
      </c>
      <c r="L47" s="8">
        <v>26071</v>
      </c>
      <c r="M47" s="7" t="s">
        <v>24</v>
      </c>
      <c r="N47" s="7" t="s">
        <v>225</v>
      </c>
      <c r="O47" s="44"/>
      <c r="P47" s="45"/>
      <c r="Q47" s="45"/>
      <c r="R47" s="46"/>
      <c r="S47" s="7">
        <v>0</v>
      </c>
    </row>
    <row r="48" spans="1:19">
      <c r="A48" s="7" t="s">
        <v>248</v>
      </c>
      <c r="B48" s="7" t="s">
        <v>249</v>
      </c>
      <c r="C48" s="7" t="s">
        <v>692</v>
      </c>
      <c r="D48" s="7" t="s">
        <v>372</v>
      </c>
      <c r="E48" s="9">
        <v>46023</v>
      </c>
      <c r="F48" s="17">
        <v>1000</v>
      </c>
      <c r="G48" s="22">
        <v>0</v>
      </c>
      <c r="H48" s="22">
        <v>1000</v>
      </c>
      <c r="I48" s="14" t="s">
        <v>373</v>
      </c>
      <c r="J48" s="7">
        <v>13464002</v>
      </c>
      <c r="K48" s="7" t="s">
        <v>374</v>
      </c>
      <c r="L48" s="8">
        <v>24118</v>
      </c>
      <c r="M48" s="7" t="s">
        <v>31</v>
      </c>
      <c r="N48" s="7" t="s">
        <v>329</v>
      </c>
      <c r="O48" s="44"/>
      <c r="P48" s="45"/>
      <c r="Q48" s="45"/>
      <c r="R48" s="46"/>
      <c r="S48" s="7">
        <v>0</v>
      </c>
    </row>
    <row r="49" spans="1:19">
      <c r="A49" s="7" t="s">
        <v>248</v>
      </c>
      <c r="B49" s="7" t="s">
        <v>249</v>
      </c>
      <c r="C49" s="7" t="s">
        <v>693</v>
      </c>
      <c r="D49" s="7" t="s">
        <v>375</v>
      </c>
      <c r="E49" s="9">
        <v>46023</v>
      </c>
      <c r="F49" s="17">
        <v>3300</v>
      </c>
      <c r="G49" s="22">
        <v>0</v>
      </c>
      <c r="H49" s="22">
        <v>3300</v>
      </c>
      <c r="I49" s="14" t="s">
        <v>251</v>
      </c>
      <c r="J49" s="7">
        <v>13453717</v>
      </c>
      <c r="K49" s="7" t="s">
        <v>23</v>
      </c>
      <c r="L49" s="8">
        <v>36870</v>
      </c>
      <c r="M49" s="7" t="s">
        <v>31</v>
      </c>
      <c r="N49" s="7" t="s">
        <v>329</v>
      </c>
      <c r="O49" s="44"/>
      <c r="P49" s="45"/>
      <c r="Q49" s="45"/>
      <c r="R49" s="46"/>
      <c r="S49" s="7">
        <v>0</v>
      </c>
    </row>
    <row r="50" spans="1:19">
      <c r="A50" s="7" t="s">
        <v>248</v>
      </c>
      <c r="B50" s="7" t="s">
        <v>249</v>
      </c>
      <c r="C50" s="7" t="s">
        <v>694</v>
      </c>
      <c r="D50" s="7" t="s">
        <v>376</v>
      </c>
      <c r="E50" s="9">
        <v>46023</v>
      </c>
      <c r="F50" s="17">
        <v>3095</v>
      </c>
      <c r="G50" s="22">
        <v>0</v>
      </c>
      <c r="H50" s="22">
        <v>3095</v>
      </c>
      <c r="I50" s="14" t="s">
        <v>251</v>
      </c>
      <c r="J50" s="7">
        <v>13453717</v>
      </c>
      <c r="K50" s="7" t="s">
        <v>377</v>
      </c>
      <c r="L50" s="8">
        <v>35824</v>
      </c>
      <c r="M50" s="7" t="s">
        <v>325</v>
      </c>
      <c r="N50" s="7" t="s">
        <v>37</v>
      </c>
      <c r="O50" s="44"/>
      <c r="P50" s="45"/>
      <c r="Q50" s="45"/>
      <c r="R50" s="46"/>
      <c r="S50" s="7">
        <v>0</v>
      </c>
    </row>
    <row r="51" spans="1:19">
      <c r="A51" s="7" t="s">
        <v>279</v>
      </c>
      <c r="B51" s="7" t="s">
        <v>249</v>
      </c>
      <c r="C51" s="7" t="s">
        <v>378</v>
      </c>
      <c r="D51" s="7" t="s">
        <v>379</v>
      </c>
      <c r="E51" s="9">
        <v>46023</v>
      </c>
      <c r="F51" s="17">
        <v>1000</v>
      </c>
      <c r="G51" s="22">
        <v>0</v>
      </c>
      <c r="H51" s="22">
        <v>1000</v>
      </c>
      <c r="I51" s="14" t="s">
        <v>380</v>
      </c>
      <c r="J51" s="7">
        <v>18681873</v>
      </c>
      <c r="K51" s="7" t="s">
        <v>381</v>
      </c>
      <c r="L51" s="8">
        <v>35271</v>
      </c>
      <c r="M51" s="7" t="s">
        <v>204</v>
      </c>
      <c r="N51" s="7" t="s">
        <v>37</v>
      </c>
      <c r="O51" s="44"/>
      <c r="P51" s="45"/>
      <c r="Q51" s="45"/>
      <c r="R51" s="46"/>
      <c r="S51" s="7">
        <v>0</v>
      </c>
    </row>
    <row r="52" spans="1:19">
      <c r="A52" s="7" t="s">
        <v>382</v>
      </c>
      <c r="B52" s="7" t="s">
        <v>249</v>
      </c>
      <c r="C52" s="7" t="s">
        <v>695</v>
      </c>
      <c r="D52" s="7" t="s">
        <v>383</v>
      </c>
      <c r="E52" s="9">
        <v>46023</v>
      </c>
      <c r="F52" s="17">
        <v>241.17</v>
      </c>
      <c r="G52" s="22">
        <v>0</v>
      </c>
      <c r="H52" s="22">
        <v>241.17</v>
      </c>
      <c r="I52" s="14" t="s">
        <v>384</v>
      </c>
      <c r="J52" s="7">
        <v>17890000</v>
      </c>
      <c r="K52" s="7" t="s">
        <v>385</v>
      </c>
      <c r="L52" s="8">
        <v>24170</v>
      </c>
      <c r="M52" s="7" t="s">
        <v>197</v>
      </c>
      <c r="N52" s="7" t="s">
        <v>177</v>
      </c>
      <c r="O52" s="44"/>
      <c r="P52" s="45"/>
      <c r="Q52" s="45"/>
      <c r="R52" s="46"/>
      <c r="S52" s="7">
        <v>0</v>
      </c>
    </row>
    <row r="53" spans="1:19">
      <c r="A53" s="7" t="s">
        <v>279</v>
      </c>
      <c r="B53" s="7" t="s">
        <v>249</v>
      </c>
      <c r="C53" s="7" t="s">
        <v>386</v>
      </c>
      <c r="D53" s="7" t="s">
        <v>387</v>
      </c>
      <c r="E53" s="9">
        <v>46023</v>
      </c>
      <c r="F53" s="17">
        <v>2500</v>
      </c>
      <c r="G53" s="22">
        <v>0</v>
      </c>
      <c r="H53" s="22">
        <v>2500</v>
      </c>
      <c r="I53" s="14" t="s">
        <v>388</v>
      </c>
      <c r="J53" s="7">
        <v>69063000</v>
      </c>
      <c r="K53" s="7" t="s">
        <v>389</v>
      </c>
      <c r="L53" s="8">
        <v>29330</v>
      </c>
      <c r="M53" s="7" t="s">
        <v>197</v>
      </c>
      <c r="N53" s="7" t="s">
        <v>390</v>
      </c>
      <c r="O53" s="44"/>
      <c r="P53" s="45"/>
      <c r="Q53" s="45"/>
      <c r="R53" s="46"/>
      <c r="S53" s="7">
        <v>0</v>
      </c>
    </row>
    <row r="54" spans="1:19">
      <c r="A54" s="7" t="s">
        <v>279</v>
      </c>
      <c r="B54" s="7" t="s">
        <v>249</v>
      </c>
      <c r="C54" s="7" t="s">
        <v>391</v>
      </c>
      <c r="D54" s="7" t="s">
        <v>392</v>
      </c>
      <c r="E54" s="9">
        <v>46023</v>
      </c>
      <c r="F54" s="17">
        <v>2500</v>
      </c>
      <c r="G54" s="22">
        <v>0</v>
      </c>
      <c r="H54" s="22">
        <v>2500</v>
      </c>
      <c r="I54" s="14" t="s">
        <v>393</v>
      </c>
      <c r="J54" s="7">
        <v>69058030</v>
      </c>
      <c r="K54" s="7" t="s">
        <v>394</v>
      </c>
      <c r="L54" s="8">
        <v>29408</v>
      </c>
      <c r="M54" s="7" t="s">
        <v>325</v>
      </c>
      <c r="N54" s="7" t="s">
        <v>269</v>
      </c>
      <c r="O54" s="44"/>
      <c r="P54" s="45"/>
      <c r="Q54" s="45"/>
      <c r="R54" s="46"/>
      <c r="S54" s="7">
        <v>0</v>
      </c>
    </row>
    <row r="55" spans="1:19">
      <c r="A55" s="7" t="s">
        <v>279</v>
      </c>
      <c r="B55" s="7" t="s">
        <v>249</v>
      </c>
      <c r="C55" s="7" t="s">
        <v>696</v>
      </c>
      <c r="D55" s="7" t="s">
        <v>395</v>
      </c>
      <c r="E55" s="9">
        <v>46023</v>
      </c>
      <c r="F55" s="17">
        <v>2000</v>
      </c>
      <c r="G55" s="22">
        <v>0</v>
      </c>
      <c r="H55" s="22">
        <v>2000</v>
      </c>
      <c r="I55" s="14" t="s">
        <v>396</v>
      </c>
      <c r="J55" s="7">
        <v>69049260</v>
      </c>
      <c r="K55" s="7" t="s">
        <v>333</v>
      </c>
      <c r="L55" s="8">
        <v>27372</v>
      </c>
      <c r="M55" s="7" t="s">
        <v>31</v>
      </c>
      <c r="N55" s="7" t="s">
        <v>72</v>
      </c>
      <c r="O55" s="44"/>
      <c r="P55" s="45"/>
      <c r="Q55" s="45"/>
      <c r="R55" s="46"/>
      <c r="S55" s="7">
        <v>0</v>
      </c>
    </row>
    <row r="56" spans="1:19">
      <c r="A56" s="7" t="s">
        <v>279</v>
      </c>
      <c r="B56" s="7" t="s">
        <v>249</v>
      </c>
      <c r="C56" s="7" t="s">
        <v>397</v>
      </c>
      <c r="D56" s="7" t="s">
        <v>398</v>
      </c>
      <c r="E56" s="9">
        <v>46023</v>
      </c>
      <c r="F56" s="17">
        <v>2000</v>
      </c>
      <c r="G56" s="22">
        <v>0</v>
      </c>
      <c r="H56" s="22">
        <v>2000</v>
      </c>
      <c r="I56" s="14" t="s">
        <v>399</v>
      </c>
      <c r="J56" s="7">
        <v>69058030</v>
      </c>
      <c r="K56" s="7" t="s">
        <v>169</v>
      </c>
      <c r="L56" s="8">
        <v>29571</v>
      </c>
      <c r="M56" s="7" t="s">
        <v>24</v>
      </c>
      <c r="N56" s="7" t="s">
        <v>79</v>
      </c>
      <c r="O56" s="44"/>
      <c r="P56" s="45"/>
      <c r="Q56" s="45"/>
      <c r="R56" s="46"/>
      <c r="S56" s="7">
        <v>0</v>
      </c>
    </row>
    <row r="57" spans="1:19">
      <c r="A57" s="7" t="s">
        <v>288</v>
      </c>
      <c r="B57" s="7" t="s">
        <v>249</v>
      </c>
      <c r="C57" s="7" t="s">
        <v>697</v>
      </c>
      <c r="D57" s="7" t="s">
        <v>400</v>
      </c>
      <c r="E57" s="9">
        <v>46023</v>
      </c>
      <c r="F57" s="17">
        <v>2000</v>
      </c>
      <c r="G57" s="22">
        <v>0</v>
      </c>
      <c r="H57" s="22">
        <v>2000</v>
      </c>
      <c r="I57" s="14" t="s">
        <v>401</v>
      </c>
      <c r="J57" s="7">
        <v>13990000</v>
      </c>
      <c r="K57" s="7" t="s">
        <v>292</v>
      </c>
      <c r="L57" s="8">
        <v>29068</v>
      </c>
      <c r="M57" s="7" t="s">
        <v>31</v>
      </c>
      <c r="N57" s="7" t="s">
        <v>37</v>
      </c>
      <c r="O57" s="44"/>
      <c r="P57" s="45"/>
      <c r="Q57" s="45"/>
      <c r="R57" s="46"/>
      <c r="S57" s="7">
        <v>0</v>
      </c>
    </row>
    <row r="58" spans="1:19">
      <c r="A58" s="7" t="s">
        <v>248</v>
      </c>
      <c r="B58" s="7" t="s">
        <v>249</v>
      </c>
      <c r="C58" s="7" t="s">
        <v>698</v>
      </c>
      <c r="D58" s="7" t="s">
        <v>402</v>
      </c>
      <c r="E58" s="9">
        <v>46023</v>
      </c>
      <c r="F58" s="17">
        <v>1000</v>
      </c>
      <c r="G58" s="22">
        <v>0</v>
      </c>
      <c r="H58" s="22">
        <v>1000</v>
      </c>
      <c r="I58" s="14" t="s">
        <v>251</v>
      </c>
      <c r="J58" s="7">
        <v>13453717</v>
      </c>
      <c r="K58" s="7" t="s">
        <v>403</v>
      </c>
      <c r="L58" s="8">
        <v>30246</v>
      </c>
      <c r="M58" s="7" t="s">
        <v>404</v>
      </c>
      <c r="N58" s="7" t="s">
        <v>37</v>
      </c>
      <c r="O58" s="44"/>
      <c r="P58" s="45"/>
      <c r="Q58" s="45"/>
      <c r="R58" s="46"/>
      <c r="S58" s="7">
        <v>0</v>
      </c>
    </row>
    <row r="59" spans="1:19">
      <c r="A59" s="7" t="s">
        <v>254</v>
      </c>
      <c r="B59" s="7" t="s">
        <v>249</v>
      </c>
      <c r="C59" s="7" t="s">
        <v>699</v>
      </c>
      <c r="D59" s="7" t="s">
        <v>405</v>
      </c>
      <c r="E59" s="9">
        <v>46023</v>
      </c>
      <c r="F59" s="17">
        <v>757.16</v>
      </c>
      <c r="G59" s="22">
        <v>0</v>
      </c>
      <c r="H59" s="22">
        <v>757.16</v>
      </c>
      <c r="I59" s="14" t="s">
        <v>406</v>
      </c>
      <c r="J59" s="7">
        <v>13454174</v>
      </c>
      <c r="K59" s="7" t="s">
        <v>353</v>
      </c>
      <c r="L59" s="8">
        <v>32122</v>
      </c>
      <c r="M59" s="7" t="s">
        <v>325</v>
      </c>
      <c r="N59" s="7" t="s">
        <v>407</v>
      </c>
      <c r="O59" s="44"/>
      <c r="P59" s="45"/>
      <c r="Q59" s="45"/>
      <c r="R59" s="46"/>
      <c r="S59" s="7">
        <v>0</v>
      </c>
    </row>
    <row r="60" spans="1:19">
      <c r="A60" s="7" t="s">
        <v>216</v>
      </c>
      <c r="B60" s="7" t="s">
        <v>249</v>
      </c>
      <c r="C60" s="7" t="s">
        <v>408</v>
      </c>
      <c r="D60" s="7" t="s">
        <v>409</v>
      </c>
      <c r="E60" s="9">
        <v>46023</v>
      </c>
      <c r="F60" s="17">
        <v>500</v>
      </c>
      <c r="G60" s="22">
        <v>0</v>
      </c>
      <c r="H60" s="22">
        <v>500</v>
      </c>
      <c r="I60" s="14" t="s">
        <v>218</v>
      </c>
      <c r="J60" s="7">
        <v>17210381</v>
      </c>
      <c r="K60" s="7" t="s">
        <v>410</v>
      </c>
      <c r="L60" s="8">
        <v>31939</v>
      </c>
      <c r="M60" s="7" t="s">
        <v>31</v>
      </c>
      <c r="N60" s="7" t="s">
        <v>32</v>
      </c>
      <c r="O60" s="44"/>
      <c r="P60" s="45"/>
      <c r="Q60" s="45"/>
      <c r="R60" s="46"/>
      <c r="S60" s="7">
        <v>0</v>
      </c>
    </row>
    <row r="61" spans="1:19">
      <c r="A61" s="7" t="s">
        <v>411</v>
      </c>
      <c r="B61" s="7" t="s">
        <v>249</v>
      </c>
      <c r="C61" s="7" t="s">
        <v>700</v>
      </c>
      <c r="D61" s="7" t="s">
        <v>412</v>
      </c>
      <c r="E61" s="9">
        <v>46023</v>
      </c>
      <c r="F61" s="17">
        <v>482</v>
      </c>
      <c r="G61" s="22">
        <v>0</v>
      </c>
      <c r="H61" s="22">
        <v>482</v>
      </c>
      <c r="I61" s="14" t="s">
        <v>413</v>
      </c>
      <c r="J61" s="7">
        <v>13424290</v>
      </c>
      <c r="K61" s="7" t="s">
        <v>414</v>
      </c>
      <c r="L61" s="8">
        <v>24515</v>
      </c>
      <c r="M61" s="7" t="s">
        <v>146</v>
      </c>
      <c r="N61" s="7" t="s">
        <v>415</v>
      </c>
      <c r="O61" s="44"/>
      <c r="P61" s="45"/>
      <c r="Q61" s="45"/>
      <c r="R61" s="46"/>
      <c r="S61" s="7">
        <v>0</v>
      </c>
    </row>
    <row r="62" spans="1:19">
      <c r="A62" s="7" t="s">
        <v>248</v>
      </c>
      <c r="B62" s="7" t="s">
        <v>249</v>
      </c>
      <c r="C62" s="7" t="s">
        <v>700</v>
      </c>
      <c r="D62" s="7" t="s">
        <v>412</v>
      </c>
      <c r="E62" s="9">
        <v>46023</v>
      </c>
      <c r="F62" s="17">
        <v>4500</v>
      </c>
      <c r="G62" s="22">
        <v>0</v>
      </c>
      <c r="H62" s="22">
        <v>4500</v>
      </c>
      <c r="I62" s="14" t="s">
        <v>413</v>
      </c>
      <c r="J62" s="7">
        <v>13424290</v>
      </c>
      <c r="K62" s="7" t="s">
        <v>414</v>
      </c>
      <c r="L62" s="8">
        <v>24515</v>
      </c>
      <c r="M62" s="7" t="s">
        <v>146</v>
      </c>
      <c r="N62" s="7" t="s">
        <v>415</v>
      </c>
      <c r="O62" s="44"/>
      <c r="P62" s="45"/>
      <c r="Q62" s="45"/>
      <c r="R62" s="46"/>
      <c r="S62" s="7">
        <v>0</v>
      </c>
    </row>
    <row r="63" spans="1:19">
      <c r="A63" s="7" t="s">
        <v>411</v>
      </c>
      <c r="B63" s="7" t="s">
        <v>249</v>
      </c>
      <c r="C63" s="7" t="s">
        <v>701</v>
      </c>
      <c r="D63" s="7" t="s">
        <v>416</v>
      </c>
      <c r="E63" s="9">
        <v>46023</v>
      </c>
      <c r="F63" s="17">
        <v>83.67</v>
      </c>
      <c r="G63" s="22">
        <v>0</v>
      </c>
      <c r="H63" s="22">
        <v>83.67</v>
      </c>
      <c r="I63" s="14" t="s">
        <v>417</v>
      </c>
      <c r="J63" s="7">
        <v>13424305</v>
      </c>
      <c r="K63" s="7" t="s">
        <v>418</v>
      </c>
      <c r="L63" s="8">
        <v>36518</v>
      </c>
      <c r="M63" s="7" t="s">
        <v>24</v>
      </c>
      <c r="N63" s="7" t="s">
        <v>419</v>
      </c>
      <c r="O63" s="44"/>
      <c r="P63" s="45"/>
      <c r="Q63" s="45"/>
      <c r="R63" s="46"/>
      <c r="S63" s="7">
        <v>0</v>
      </c>
    </row>
    <row r="64" spans="1:19" ht="15">
      <c r="A64" s="7" t="s">
        <v>420</v>
      </c>
      <c r="B64" s="7" t="s">
        <v>249</v>
      </c>
      <c r="C64" s="7" t="s">
        <v>421</v>
      </c>
      <c r="D64" s="7" t="s">
        <v>422</v>
      </c>
      <c r="E64" s="9">
        <v>46023</v>
      </c>
      <c r="F64" s="17">
        <v>1500</v>
      </c>
      <c r="G64" s="22">
        <v>0</v>
      </c>
      <c r="H64" s="22">
        <v>1500</v>
      </c>
      <c r="I64" s="14" t="s">
        <v>423</v>
      </c>
      <c r="J64" s="7">
        <v>13387764</v>
      </c>
      <c r="K64" s="7" t="s">
        <v>424</v>
      </c>
      <c r="L64" s="8">
        <v>37818</v>
      </c>
      <c r="M64" s="7" t="s">
        <v>197</v>
      </c>
      <c r="N64" s="7" t="s">
        <v>425</v>
      </c>
      <c r="O64" s="44"/>
      <c r="P64" s="45"/>
      <c r="Q64" s="45"/>
      <c r="R64" s="46"/>
      <c r="S64" s="7">
        <v>0</v>
      </c>
    </row>
    <row r="65" spans="1:19">
      <c r="A65" s="7" t="s">
        <v>279</v>
      </c>
      <c r="B65" s="7" t="s">
        <v>249</v>
      </c>
      <c r="C65" s="7" t="s">
        <v>702</v>
      </c>
      <c r="D65" s="7" t="s">
        <v>167</v>
      </c>
      <c r="E65" s="9">
        <v>46023</v>
      </c>
      <c r="F65" s="17">
        <v>2400</v>
      </c>
      <c r="G65" s="22">
        <v>0</v>
      </c>
      <c r="H65" s="22">
        <v>2400</v>
      </c>
      <c r="I65" s="14" t="s">
        <v>168</v>
      </c>
      <c r="J65" s="7">
        <v>69312012</v>
      </c>
      <c r="K65" s="7" t="s">
        <v>169</v>
      </c>
      <c r="L65" s="8">
        <v>29554</v>
      </c>
      <c r="M65" s="7" t="s">
        <v>31</v>
      </c>
      <c r="N65" s="7" t="s">
        <v>72</v>
      </c>
      <c r="O65" s="7" t="s">
        <v>170</v>
      </c>
      <c r="P65" s="8">
        <v>42118</v>
      </c>
      <c r="Q65" s="7" t="s">
        <v>171</v>
      </c>
      <c r="R65" s="7" t="s">
        <v>158</v>
      </c>
      <c r="S65" s="7">
        <v>1</v>
      </c>
    </row>
    <row r="66" spans="1:19">
      <c r="A66" s="7" t="s">
        <v>244</v>
      </c>
      <c r="B66" s="7" t="s">
        <v>249</v>
      </c>
      <c r="C66" s="7" t="s">
        <v>702</v>
      </c>
      <c r="D66" s="7" t="s">
        <v>167</v>
      </c>
      <c r="E66" s="9">
        <v>46023</v>
      </c>
      <c r="F66" s="17">
        <v>1000</v>
      </c>
      <c r="G66" s="22">
        <v>0</v>
      </c>
      <c r="H66" s="22">
        <v>1000</v>
      </c>
      <c r="I66" s="14" t="s">
        <v>168</v>
      </c>
      <c r="J66" s="7">
        <v>69312012</v>
      </c>
      <c r="K66" s="7" t="s">
        <v>169</v>
      </c>
      <c r="L66" s="8">
        <v>29554</v>
      </c>
      <c r="M66" s="7" t="s">
        <v>31</v>
      </c>
      <c r="N66" s="7" t="s">
        <v>72</v>
      </c>
      <c r="O66" s="7" t="s">
        <v>170</v>
      </c>
      <c r="P66" s="8">
        <v>42118</v>
      </c>
      <c r="Q66" s="7" t="s">
        <v>171</v>
      </c>
      <c r="R66" s="7" t="s">
        <v>158</v>
      </c>
      <c r="S66" s="7">
        <v>1</v>
      </c>
    </row>
    <row r="67" spans="1:19">
      <c r="A67" s="7" t="s">
        <v>244</v>
      </c>
      <c r="B67" s="7" t="s">
        <v>249</v>
      </c>
      <c r="C67" s="7" t="s">
        <v>703</v>
      </c>
      <c r="D67" s="7" t="s">
        <v>426</v>
      </c>
      <c r="E67" s="9">
        <v>46023</v>
      </c>
      <c r="F67" s="17">
        <v>1200</v>
      </c>
      <c r="G67" s="22">
        <v>0</v>
      </c>
      <c r="H67" s="22">
        <v>1200</v>
      </c>
      <c r="I67" s="14" t="s">
        <v>427</v>
      </c>
      <c r="J67" s="7">
        <v>13090500</v>
      </c>
      <c r="K67" s="7" t="s">
        <v>252</v>
      </c>
      <c r="L67" s="8">
        <v>30391</v>
      </c>
      <c r="M67" s="7" t="s">
        <v>258</v>
      </c>
      <c r="N67" s="7" t="s">
        <v>186</v>
      </c>
      <c r="O67" s="44"/>
      <c r="P67" s="45"/>
      <c r="Q67" s="45"/>
      <c r="R67" s="46"/>
      <c r="S67" s="7">
        <v>0</v>
      </c>
    </row>
    <row r="68" spans="1:19">
      <c r="A68" s="7" t="s">
        <v>248</v>
      </c>
      <c r="B68" s="7" t="s">
        <v>249</v>
      </c>
      <c r="C68" s="7" t="s">
        <v>704</v>
      </c>
      <c r="D68" s="7" t="s">
        <v>428</v>
      </c>
      <c r="E68" s="9">
        <v>46023</v>
      </c>
      <c r="F68" s="17">
        <v>2200</v>
      </c>
      <c r="G68" s="22">
        <v>0</v>
      </c>
      <c r="H68" s="22">
        <v>2200</v>
      </c>
      <c r="I68" s="14" t="s">
        <v>429</v>
      </c>
      <c r="J68" s="7">
        <v>13454174</v>
      </c>
      <c r="K68" s="7" t="s">
        <v>252</v>
      </c>
      <c r="L68" s="8">
        <v>30253</v>
      </c>
      <c r="M68" s="7" t="s">
        <v>31</v>
      </c>
      <c r="N68" s="7" t="s">
        <v>79</v>
      </c>
      <c r="O68" s="44"/>
      <c r="P68" s="45"/>
      <c r="Q68" s="45"/>
      <c r="R68" s="46"/>
      <c r="S68" s="7">
        <v>0</v>
      </c>
    </row>
    <row r="69" spans="1:19">
      <c r="A69" s="7" t="s">
        <v>411</v>
      </c>
      <c r="B69" s="7" t="s">
        <v>249</v>
      </c>
      <c r="C69" s="7" t="s">
        <v>705</v>
      </c>
      <c r="D69" s="7" t="s">
        <v>430</v>
      </c>
      <c r="E69" s="9">
        <v>46023</v>
      </c>
      <c r="F69" s="17">
        <v>2400</v>
      </c>
      <c r="G69" s="22">
        <v>0</v>
      </c>
      <c r="H69" s="22">
        <v>2400</v>
      </c>
      <c r="I69" s="14" t="s">
        <v>431</v>
      </c>
      <c r="J69" s="7">
        <v>13424305</v>
      </c>
      <c r="K69" s="7" t="s">
        <v>432</v>
      </c>
      <c r="L69" s="8">
        <v>26583</v>
      </c>
      <c r="M69" s="7" t="s">
        <v>325</v>
      </c>
      <c r="N69" s="7" t="s">
        <v>433</v>
      </c>
      <c r="O69" s="44"/>
      <c r="P69" s="45"/>
      <c r="Q69" s="45"/>
      <c r="R69" s="46"/>
      <c r="S69" s="7">
        <v>0</v>
      </c>
    </row>
    <row r="70" spans="1:19">
      <c r="A70" s="7" t="s">
        <v>248</v>
      </c>
      <c r="B70" s="7" t="s">
        <v>249</v>
      </c>
      <c r="C70" s="7" t="s">
        <v>705</v>
      </c>
      <c r="D70" s="7" t="s">
        <v>430</v>
      </c>
      <c r="E70" s="9">
        <v>46023</v>
      </c>
      <c r="F70" s="17">
        <v>500</v>
      </c>
      <c r="G70" s="22">
        <v>0</v>
      </c>
      <c r="H70" s="22">
        <v>500</v>
      </c>
      <c r="I70" s="14" t="s">
        <v>431</v>
      </c>
      <c r="J70" s="7">
        <v>13424305</v>
      </c>
      <c r="K70" s="7" t="s">
        <v>432</v>
      </c>
      <c r="L70" s="8">
        <v>26583</v>
      </c>
      <c r="M70" s="7" t="s">
        <v>325</v>
      </c>
      <c r="N70" s="7" t="s">
        <v>433</v>
      </c>
      <c r="O70" s="44"/>
      <c r="P70" s="45"/>
      <c r="Q70" s="45"/>
      <c r="R70" s="46"/>
      <c r="S70" s="7">
        <v>0</v>
      </c>
    </row>
    <row r="71" spans="1:19">
      <c r="A71" s="7" t="s">
        <v>235</v>
      </c>
      <c r="B71" s="7" t="s">
        <v>249</v>
      </c>
      <c r="C71" s="7" t="s">
        <v>706</v>
      </c>
      <c r="D71" s="7" t="s">
        <v>434</v>
      </c>
      <c r="E71" s="9">
        <v>46023</v>
      </c>
      <c r="F71" s="17">
        <v>800</v>
      </c>
      <c r="G71" s="22">
        <v>0</v>
      </c>
      <c r="H71" s="22">
        <v>800</v>
      </c>
      <c r="I71" s="14" t="s">
        <v>435</v>
      </c>
      <c r="J71" s="7">
        <v>13575020</v>
      </c>
      <c r="K71" s="7" t="s">
        <v>44</v>
      </c>
      <c r="L71" s="8">
        <v>29237</v>
      </c>
      <c r="M71" s="7" t="s">
        <v>31</v>
      </c>
      <c r="N71" s="7" t="s">
        <v>186</v>
      </c>
      <c r="O71" s="44"/>
      <c r="P71" s="45"/>
      <c r="Q71" s="45"/>
      <c r="R71" s="46"/>
      <c r="S71" s="7">
        <v>0</v>
      </c>
    </row>
    <row r="72" spans="1:19">
      <c r="A72" s="7" t="s">
        <v>244</v>
      </c>
      <c r="B72" s="7" t="s">
        <v>249</v>
      </c>
      <c r="C72" s="7" t="s">
        <v>707</v>
      </c>
      <c r="D72" s="7" t="s">
        <v>436</v>
      </c>
      <c r="E72" s="9">
        <v>46023</v>
      </c>
      <c r="F72" s="17">
        <v>1000</v>
      </c>
      <c r="G72" s="22">
        <v>0</v>
      </c>
      <c r="H72" s="22">
        <v>1000</v>
      </c>
      <c r="I72" s="14" t="s">
        <v>260</v>
      </c>
      <c r="J72" s="7">
        <v>13056417</v>
      </c>
      <c r="K72" s="7" t="s">
        <v>252</v>
      </c>
      <c r="L72" s="8">
        <v>32158</v>
      </c>
      <c r="M72" s="7" t="s">
        <v>24</v>
      </c>
      <c r="N72" s="7" t="s">
        <v>437</v>
      </c>
      <c r="O72" s="44"/>
      <c r="P72" s="45"/>
      <c r="Q72" s="45"/>
      <c r="R72" s="46"/>
      <c r="S72" s="7">
        <v>0</v>
      </c>
    </row>
    <row r="73" spans="1:19">
      <c r="A73" s="7" t="s">
        <v>248</v>
      </c>
      <c r="B73" s="7" t="s">
        <v>249</v>
      </c>
      <c r="C73" s="7" t="s">
        <v>708</v>
      </c>
      <c r="D73" s="7" t="s">
        <v>144</v>
      </c>
      <c r="E73" s="9">
        <v>46023</v>
      </c>
      <c r="F73" s="17">
        <v>1500</v>
      </c>
      <c r="G73" s="22">
        <v>0</v>
      </c>
      <c r="H73" s="22">
        <v>1500</v>
      </c>
      <c r="I73" s="14" t="s">
        <v>112</v>
      </c>
      <c r="J73" s="7">
        <v>13040102</v>
      </c>
      <c r="K73" s="7" t="s">
        <v>145</v>
      </c>
      <c r="L73" s="8">
        <v>30391</v>
      </c>
      <c r="M73" s="7" t="s">
        <v>146</v>
      </c>
      <c r="N73" s="7" t="s">
        <v>46</v>
      </c>
      <c r="O73" s="44"/>
      <c r="P73" s="45"/>
      <c r="Q73" s="45"/>
      <c r="R73" s="46"/>
      <c r="S73" s="7">
        <v>0</v>
      </c>
    </row>
    <row r="74" spans="1:19">
      <c r="A74" s="7" t="s">
        <v>248</v>
      </c>
      <c r="B74" s="7" t="s">
        <v>249</v>
      </c>
      <c r="C74" s="7" t="s">
        <v>438</v>
      </c>
      <c r="D74" s="7" t="s">
        <v>439</v>
      </c>
      <c r="E74" s="9">
        <v>46023</v>
      </c>
      <c r="F74" s="17">
        <v>1500</v>
      </c>
      <c r="G74" s="22">
        <v>0</v>
      </c>
      <c r="H74" s="22">
        <v>1500</v>
      </c>
      <c r="I74" s="14" t="s">
        <v>440</v>
      </c>
      <c r="J74" s="7">
        <v>4776100</v>
      </c>
      <c r="K74" s="7" t="s">
        <v>44</v>
      </c>
      <c r="L74" s="8">
        <v>33626</v>
      </c>
      <c r="M74" s="7" t="s">
        <v>31</v>
      </c>
      <c r="N74" s="7" t="s">
        <v>441</v>
      </c>
      <c r="O74" s="44"/>
      <c r="P74" s="45"/>
      <c r="Q74" s="45"/>
      <c r="R74" s="46"/>
      <c r="S74" s="7">
        <v>0</v>
      </c>
    </row>
    <row r="75" spans="1:19">
      <c r="A75" s="29" t="s">
        <v>210</v>
      </c>
      <c r="B75" s="29" t="s">
        <v>249</v>
      </c>
      <c r="C75" s="29" t="s">
        <v>442</v>
      </c>
      <c r="D75" s="29" t="s">
        <v>443</v>
      </c>
      <c r="E75" s="32">
        <v>46023</v>
      </c>
      <c r="F75" s="35">
        <v>1000</v>
      </c>
      <c r="G75" s="38">
        <v>0</v>
      </c>
      <c r="H75" s="38">
        <v>1000</v>
      </c>
      <c r="I75" s="41" t="s">
        <v>444</v>
      </c>
      <c r="J75" s="29">
        <v>37504326</v>
      </c>
      <c r="K75" s="29" t="s">
        <v>445</v>
      </c>
      <c r="L75" s="26">
        <v>27187</v>
      </c>
      <c r="M75" s="29" t="s">
        <v>31</v>
      </c>
      <c r="N75" s="29" t="s">
        <v>446</v>
      </c>
      <c r="O75" s="7" t="s">
        <v>447</v>
      </c>
      <c r="P75" s="8">
        <v>27656</v>
      </c>
      <c r="Q75" s="7" t="s">
        <v>448</v>
      </c>
      <c r="R75" s="7" t="s">
        <v>242</v>
      </c>
      <c r="S75" s="29">
        <v>2</v>
      </c>
    </row>
    <row r="76" spans="1:19">
      <c r="A76" s="31"/>
      <c r="B76" s="31"/>
      <c r="C76" s="31"/>
      <c r="D76" s="31"/>
      <c r="E76" s="34"/>
      <c r="F76" s="37"/>
      <c r="G76" s="40"/>
      <c r="H76" s="40"/>
      <c r="I76" s="43"/>
      <c r="J76" s="31"/>
      <c r="K76" s="31"/>
      <c r="L76" s="28"/>
      <c r="M76" s="31"/>
      <c r="N76" s="31"/>
      <c r="O76" s="7" t="s">
        <v>449</v>
      </c>
      <c r="P76" s="8">
        <v>38397</v>
      </c>
      <c r="Q76" s="7" t="s">
        <v>450</v>
      </c>
      <c r="R76" s="7" t="s">
        <v>158</v>
      </c>
      <c r="S76" s="31"/>
    </row>
    <row r="77" spans="1:19">
      <c r="A77" s="17" t="s">
        <v>248</v>
      </c>
      <c r="B77" s="7" t="s">
        <v>249</v>
      </c>
      <c r="C77" s="7" t="s">
        <v>654</v>
      </c>
      <c r="D77" s="7" t="s">
        <v>451</v>
      </c>
      <c r="E77" s="9">
        <v>46023</v>
      </c>
      <c r="F77" s="17">
        <v>3000</v>
      </c>
      <c r="G77" s="22">
        <v>0</v>
      </c>
      <c r="H77" s="22">
        <v>3000</v>
      </c>
      <c r="I77" s="14" t="s">
        <v>452</v>
      </c>
      <c r="J77" s="7">
        <v>2636200</v>
      </c>
      <c r="K77" s="7" t="s">
        <v>453</v>
      </c>
      <c r="L77" s="8">
        <v>22149</v>
      </c>
      <c r="M77" s="7" t="s">
        <v>146</v>
      </c>
      <c r="N77" s="7" t="s">
        <v>37</v>
      </c>
      <c r="O77" s="44"/>
      <c r="P77" s="45"/>
      <c r="Q77" s="45"/>
      <c r="R77" s="46"/>
      <c r="S77" s="7">
        <v>0</v>
      </c>
    </row>
    <row r="78" spans="1:19">
      <c r="A78" s="7" t="s">
        <v>248</v>
      </c>
      <c r="B78" s="7" t="s">
        <v>249</v>
      </c>
      <c r="C78" s="7" t="s">
        <v>709</v>
      </c>
      <c r="D78" s="7" t="s">
        <v>454</v>
      </c>
      <c r="E78" s="9">
        <v>46023</v>
      </c>
      <c r="F78" s="17">
        <v>3000</v>
      </c>
      <c r="G78" s="22">
        <v>0</v>
      </c>
      <c r="H78" s="22">
        <v>3000</v>
      </c>
      <c r="I78" s="14" t="s">
        <v>455</v>
      </c>
      <c r="J78" s="7">
        <v>72318313</v>
      </c>
      <c r="K78" s="7" t="s">
        <v>456</v>
      </c>
      <c r="L78" s="8">
        <v>28237</v>
      </c>
      <c r="M78" s="7" t="s">
        <v>31</v>
      </c>
      <c r="N78" s="7" t="s">
        <v>166</v>
      </c>
      <c r="O78" s="7" t="s">
        <v>457</v>
      </c>
      <c r="P78" s="8">
        <v>40187</v>
      </c>
      <c r="Q78" s="7" t="s">
        <v>458</v>
      </c>
      <c r="R78" s="7" t="s">
        <v>28</v>
      </c>
      <c r="S78" s="7">
        <v>1</v>
      </c>
    </row>
    <row r="79" spans="1:19">
      <c r="A79" s="7" t="s">
        <v>248</v>
      </c>
      <c r="B79" s="7" t="s">
        <v>249</v>
      </c>
      <c r="C79" s="7" t="s">
        <v>162</v>
      </c>
      <c r="D79" s="7" t="s">
        <v>163</v>
      </c>
      <c r="E79" s="9">
        <v>46023</v>
      </c>
      <c r="F79" s="17">
        <v>3000</v>
      </c>
      <c r="G79" s="22">
        <v>0</v>
      </c>
      <c r="H79" s="22">
        <v>3000</v>
      </c>
      <c r="I79" s="14" t="s">
        <v>164</v>
      </c>
      <c r="J79" s="7">
        <v>4018000</v>
      </c>
      <c r="K79" s="7" t="s">
        <v>165</v>
      </c>
      <c r="L79" s="8">
        <v>23600</v>
      </c>
      <c r="M79" s="7" t="s">
        <v>31</v>
      </c>
      <c r="N79" s="7" t="s">
        <v>166</v>
      </c>
      <c r="O79" s="44"/>
      <c r="P79" s="45"/>
      <c r="Q79" s="45"/>
      <c r="R79" s="46"/>
      <c r="S79" s="7">
        <v>0</v>
      </c>
    </row>
    <row r="80" spans="1:19">
      <c r="A80" s="7" t="s">
        <v>248</v>
      </c>
      <c r="B80" s="7" t="s">
        <v>249</v>
      </c>
      <c r="C80" s="7" t="s">
        <v>153</v>
      </c>
      <c r="D80" s="7" t="s">
        <v>154</v>
      </c>
      <c r="E80" s="9">
        <v>46023</v>
      </c>
      <c r="F80" s="19">
        <v>3000</v>
      </c>
      <c r="G80" s="23">
        <v>0</v>
      </c>
      <c r="H80" s="23">
        <v>3000</v>
      </c>
      <c r="I80" s="14" t="s">
        <v>155</v>
      </c>
      <c r="J80" s="7">
        <v>4671050</v>
      </c>
      <c r="K80" s="7" t="s">
        <v>23</v>
      </c>
      <c r="L80" s="8">
        <v>32901</v>
      </c>
      <c r="M80" s="7" t="s">
        <v>31</v>
      </c>
      <c r="N80" s="7" t="s">
        <v>79</v>
      </c>
      <c r="O80" s="7" t="s">
        <v>156</v>
      </c>
      <c r="P80" s="8">
        <v>41817</v>
      </c>
      <c r="Q80" s="7" t="s">
        <v>157</v>
      </c>
      <c r="R80" s="7" t="s">
        <v>158</v>
      </c>
      <c r="S80" s="7">
        <v>1</v>
      </c>
    </row>
    <row r="81" spans="1:19" ht="15.75">
      <c r="A81" s="7"/>
      <c r="B81" s="7"/>
      <c r="C81" s="7"/>
      <c r="D81" s="7"/>
      <c r="E81" s="10"/>
      <c r="F81" s="20">
        <f>SUM(F2:F80)</f>
        <v>131861.29999999999</v>
      </c>
      <c r="G81" s="24">
        <f>SUM(G2:G80)</f>
        <v>0</v>
      </c>
      <c r="H81" s="24">
        <f>SUM(H2:H80)</f>
        <v>131861.29999999999</v>
      </c>
      <c r="I81" s="15"/>
      <c r="J81" s="11"/>
      <c r="K81" s="11"/>
      <c r="L81" s="11"/>
      <c r="M81" s="11"/>
      <c r="N81" s="11"/>
      <c r="O81" s="11"/>
      <c r="P81" s="11"/>
      <c r="Q81" s="11"/>
      <c r="R81" s="11"/>
      <c r="S81" s="12"/>
    </row>
  </sheetData>
  <mergeCells count="140">
    <mergeCell ref="S75:S76"/>
    <mergeCell ref="O77:R77"/>
    <mergeCell ref="O79:R79"/>
    <mergeCell ref="H75:H76"/>
    <mergeCell ref="I75:I76"/>
    <mergeCell ref="J75:J76"/>
    <mergeCell ref="K75:K76"/>
    <mergeCell ref="L75:L76"/>
    <mergeCell ref="M75:M76"/>
    <mergeCell ref="O72:R72"/>
    <mergeCell ref="O73:R73"/>
    <mergeCell ref="O74:R74"/>
    <mergeCell ref="A75:A76"/>
    <mergeCell ref="B75:B76"/>
    <mergeCell ref="D75:D76"/>
    <mergeCell ref="E75:E76"/>
    <mergeCell ref="F75:F76"/>
    <mergeCell ref="G75:G76"/>
    <mergeCell ref="N75:N76"/>
    <mergeCell ref="C75:C76"/>
    <mergeCell ref="O64:R64"/>
    <mergeCell ref="O67:R67"/>
    <mergeCell ref="O68:R68"/>
    <mergeCell ref="O69:R69"/>
    <mergeCell ref="O70:R70"/>
    <mergeCell ref="O71:R71"/>
    <mergeCell ref="O58:R58"/>
    <mergeCell ref="O59:R59"/>
    <mergeCell ref="O60:R60"/>
    <mergeCell ref="O61:R61"/>
    <mergeCell ref="O62:R62"/>
    <mergeCell ref="O63:R63"/>
    <mergeCell ref="O52:R52"/>
    <mergeCell ref="O53:R53"/>
    <mergeCell ref="O54:R54"/>
    <mergeCell ref="O55:R55"/>
    <mergeCell ref="O56:R56"/>
    <mergeCell ref="O57:R57"/>
    <mergeCell ref="O46:R46"/>
    <mergeCell ref="O47:R47"/>
    <mergeCell ref="O48:R48"/>
    <mergeCell ref="O49:R49"/>
    <mergeCell ref="O50:R50"/>
    <mergeCell ref="O51:R51"/>
    <mergeCell ref="O40:R40"/>
    <mergeCell ref="O41:R41"/>
    <mergeCell ref="O42:R42"/>
    <mergeCell ref="O43:R43"/>
    <mergeCell ref="O44:R44"/>
    <mergeCell ref="O45:R45"/>
    <mergeCell ref="O34:R34"/>
    <mergeCell ref="O35:R35"/>
    <mergeCell ref="O36:R36"/>
    <mergeCell ref="O37:R37"/>
    <mergeCell ref="O38:R38"/>
    <mergeCell ref="O39:R39"/>
    <mergeCell ref="O28:R28"/>
    <mergeCell ref="O29:R29"/>
    <mergeCell ref="O30:R30"/>
    <mergeCell ref="O31:R31"/>
    <mergeCell ref="O32:R32"/>
    <mergeCell ref="O33:R33"/>
    <mergeCell ref="O22:R22"/>
    <mergeCell ref="O23:R23"/>
    <mergeCell ref="O24:R24"/>
    <mergeCell ref="O25:R25"/>
    <mergeCell ref="O26:R26"/>
    <mergeCell ref="O27:R27"/>
    <mergeCell ref="O16:R16"/>
    <mergeCell ref="O17:R17"/>
    <mergeCell ref="O18:R18"/>
    <mergeCell ref="O19:R19"/>
    <mergeCell ref="O20:R20"/>
    <mergeCell ref="O21:R21"/>
    <mergeCell ref="M11:M12"/>
    <mergeCell ref="N11:N12"/>
    <mergeCell ref="S11:S12"/>
    <mergeCell ref="O13:R13"/>
    <mergeCell ref="O14:R14"/>
    <mergeCell ref="O15:R15"/>
    <mergeCell ref="G11:G12"/>
    <mergeCell ref="H11:H12"/>
    <mergeCell ref="I11:I12"/>
    <mergeCell ref="J11:J12"/>
    <mergeCell ref="K11:K12"/>
    <mergeCell ref="L11:L12"/>
    <mergeCell ref="A11:A12"/>
    <mergeCell ref="B11:B12"/>
    <mergeCell ref="D11:D12"/>
    <mergeCell ref="E11:E12"/>
    <mergeCell ref="F11:F12"/>
    <mergeCell ref="C11:C12"/>
    <mergeCell ref="J9:J10"/>
    <mergeCell ref="K9:K10"/>
    <mergeCell ref="L9:L10"/>
    <mergeCell ref="M9:M10"/>
    <mergeCell ref="N9:N10"/>
    <mergeCell ref="S9:S10"/>
    <mergeCell ref="O8:R8"/>
    <mergeCell ref="A9:A10"/>
    <mergeCell ref="B9:B10"/>
    <mergeCell ref="D9:D10"/>
    <mergeCell ref="E9:E10"/>
    <mergeCell ref="F9:F10"/>
    <mergeCell ref="G9:G10"/>
    <mergeCell ref="H9:H10"/>
    <mergeCell ref="I9:I10"/>
    <mergeCell ref="C9:C10"/>
    <mergeCell ref="J6:J7"/>
    <mergeCell ref="K6:K7"/>
    <mergeCell ref="L6:L7"/>
    <mergeCell ref="M6:M7"/>
    <mergeCell ref="N6:N7"/>
    <mergeCell ref="S6:S7"/>
    <mergeCell ref="S4:S5"/>
    <mergeCell ref="A6:A7"/>
    <mergeCell ref="B6:B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N4:N5"/>
    <mergeCell ref="C6:C7"/>
    <mergeCell ref="C4:C5"/>
    <mergeCell ref="O2:R2"/>
    <mergeCell ref="O3:R3"/>
    <mergeCell ref="A4:A5"/>
    <mergeCell ref="B4:B5"/>
    <mergeCell ref="D4:D5"/>
    <mergeCell ref="E4:E5"/>
    <mergeCell ref="F4:F5"/>
    <mergeCell ref="G4:G5"/>
    <mergeCell ref="H4:H5"/>
  </mergeCells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S12"/>
  <sheetViews>
    <sheetView showGridLines="0" workbookViewId="0">
      <selection activeCell="G13" sqref="G13"/>
    </sheetView>
  </sheetViews>
  <sheetFormatPr defaultRowHeight="14.25"/>
  <cols>
    <col min="1" max="1" width="21" style="6" bestFit="1" customWidth="1"/>
    <col min="2" max="2" width="19.85546875" style="6" bestFit="1" customWidth="1"/>
    <col min="3" max="3" width="42.5703125" style="6" bestFit="1" customWidth="1"/>
    <col min="4" max="4" width="15.5703125" style="6" bestFit="1" customWidth="1"/>
    <col min="5" max="5" width="10.42578125" style="6" bestFit="1" customWidth="1"/>
    <col min="6" max="6" width="15" style="21" bestFit="1" customWidth="1"/>
    <col min="7" max="7" width="13" style="25" bestFit="1" customWidth="1"/>
    <col min="8" max="8" width="16.42578125" style="25" bestFit="1" customWidth="1"/>
    <col min="9" max="9" width="34.85546875" style="16" bestFit="1" customWidth="1"/>
    <col min="10" max="10" width="10.140625" style="6" bestFit="1" customWidth="1"/>
    <col min="11" max="11" width="24.28515625" style="6" bestFit="1" customWidth="1"/>
    <col min="12" max="12" width="18.140625" style="6" bestFit="1" customWidth="1"/>
    <col min="13" max="13" width="12.5703125" style="6" bestFit="1" customWidth="1"/>
    <col min="14" max="14" width="15.85546875" style="6" bestFit="1" customWidth="1"/>
    <col min="15" max="15" width="24.140625" style="6" bestFit="1" customWidth="1"/>
    <col min="16" max="16" width="19.28515625" style="6" bestFit="1" customWidth="1"/>
    <col min="17" max="17" width="17.7109375" style="6" bestFit="1" customWidth="1"/>
    <col min="18" max="18" width="12.140625" style="6" bestFit="1" customWidth="1"/>
    <col min="19" max="19" width="2.140625" style="6" bestFit="1" customWidth="1"/>
    <col min="20" max="16384" width="9.140625" style="6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8" t="s">
        <v>6</v>
      </c>
      <c r="H1" s="18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5"/>
    </row>
    <row r="2" spans="1:19">
      <c r="A2" s="7" t="s">
        <v>172</v>
      </c>
      <c r="B2" s="7" t="s">
        <v>182</v>
      </c>
      <c r="C2" s="7" t="s">
        <v>710</v>
      </c>
      <c r="D2" s="7" t="s">
        <v>173</v>
      </c>
      <c r="E2" s="9">
        <v>46023</v>
      </c>
      <c r="F2" s="17">
        <v>5850</v>
      </c>
      <c r="G2" s="22">
        <v>333.31</v>
      </c>
      <c r="H2" s="22">
        <v>5516.69</v>
      </c>
      <c r="I2" s="14" t="s">
        <v>174</v>
      </c>
      <c r="J2" s="7">
        <v>12280041</v>
      </c>
      <c r="K2" s="7" t="s">
        <v>175</v>
      </c>
      <c r="L2" s="8">
        <v>25138</v>
      </c>
      <c r="M2" s="7" t="s">
        <v>176</v>
      </c>
      <c r="N2" s="7" t="s">
        <v>177</v>
      </c>
      <c r="O2" s="7" t="s">
        <v>178</v>
      </c>
      <c r="P2" s="8">
        <v>38333</v>
      </c>
      <c r="Q2" s="7" t="s">
        <v>179</v>
      </c>
      <c r="R2" s="7" t="s">
        <v>180</v>
      </c>
      <c r="S2" s="7">
        <v>1</v>
      </c>
    </row>
    <row r="3" spans="1:19">
      <c r="A3" s="7" t="s">
        <v>181</v>
      </c>
      <c r="B3" s="7" t="s">
        <v>182</v>
      </c>
      <c r="C3" s="7" t="s">
        <v>711</v>
      </c>
      <c r="D3" s="7" t="s">
        <v>183</v>
      </c>
      <c r="E3" s="9">
        <v>46023</v>
      </c>
      <c r="F3" s="17">
        <v>3000</v>
      </c>
      <c r="G3" s="22">
        <v>0</v>
      </c>
      <c r="H3" s="22">
        <v>3000</v>
      </c>
      <c r="I3" s="14" t="s">
        <v>184</v>
      </c>
      <c r="J3" s="7">
        <v>12233401</v>
      </c>
      <c r="K3" s="7" t="s">
        <v>185</v>
      </c>
      <c r="L3" s="8">
        <v>34483</v>
      </c>
      <c r="M3" s="7" t="s">
        <v>24</v>
      </c>
      <c r="N3" s="7" t="s">
        <v>186</v>
      </c>
      <c r="O3" s="44"/>
      <c r="P3" s="45"/>
      <c r="Q3" s="45"/>
      <c r="R3" s="46"/>
      <c r="S3" s="7">
        <v>0</v>
      </c>
    </row>
    <row r="4" spans="1:19">
      <c r="A4" s="7" t="s">
        <v>181</v>
      </c>
      <c r="B4" s="7" t="s">
        <v>182</v>
      </c>
      <c r="C4" s="7" t="s">
        <v>187</v>
      </c>
      <c r="D4" s="7" t="s">
        <v>188</v>
      </c>
      <c r="E4" s="9">
        <v>46023</v>
      </c>
      <c r="F4" s="17">
        <v>2100</v>
      </c>
      <c r="G4" s="22">
        <v>0</v>
      </c>
      <c r="H4" s="22">
        <v>2100</v>
      </c>
      <c r="I4" s="14" t="s">
        <v>189</v>
      </c>
      <c r="J4" s="7">
        <v>12234754</v>
      </c>
      <c r="K4" s="7" t="s">
        <v>185</v>
      </c>
      <c r="L4" s="8">
        <v>29436</v>
      </c>
      <c r="M4" s="7" t="s">
        <v>31</v>
      </c>
      <c r="N4" s="7" t="s">
        <v>166</v>
      </c>
      <c r="O4" s="44"/>
      <c r="P4" s="45"/>
      <c r="Q4" s="45"/>
      <c r="R4" s="46"/>
      <c r="S4" s="7">
        <v>0</v>
      </c>
    </row>
    <row r="5" spans="1:19">
      <c r="A5" s="7" t="s">
        <v>181</v>
      </c>
      <c r="B5" s="7" t="s">
        <v>182</v>
      </c>
      <c r="C5" s="7" t="s">
        <v>712</v>
      </c>
      <c r="D5" s="7" t="s">
        <v>190</v>
      </c>
      <c r="E5" s="9">
        <v>46023</v>
      </c>
      <c r="F5" s="17">
        <v>500</v>
      </c>
      <c r="G5" s="22">
        <v>0</v>
      </c>
      <c r="H5" s="22">
        <v>500</v>
      </c>
      <c r="I5" s="14" t="s">
        <v>189</v>
      </c>
      <c r="J5" s="7">
        <v>12234754</v>
      </c>
      <c r="K5" s="7" t="s">
        <v>185</v>
      </c>
      <c r="L5" s="8">
        <v>25471</v>
      </c>
      <c r="M5" s="7" t="s">
        <v>31</v>
      </c>
      <c r="N5" s="7" t="s">
        <v>186</v>
      </c>
      <c r="O5" s="44"/>
      <c r="P5" s="45"/>
      <c r="Q5" s="45"/>
      <c r="R5" s="46"/>
      <c r="S5" s="7">
        <v>0</v>
      </c>
    </row>
    <row r="6" spans="1:19">
      <c r="A6" s="7" t="s">
        <v>181</v>
      </c>
      <c r="B6" s="7" t="s">
        <v>182</v>
      </c>
      <c r="C6" s="7" t="s">
        <v>713</v>
      </c>
      <c r="D6" s="7" t="s">
        <v>191</v>
      </c>
      <c r="E6" s="9">
        <v>46023</v>
      </c>
      <c r="F6" s="17">
        <v>2000</v>
      </c>
      <c r="G6" s="22">
        <v>0</v>
      </c>
      <c r="H6" s="22">
        <v>2000</v>
      </c>
      <c r="I6" s="14" t="s">
        <v>192</v>
      </c>
      <c r="J6" s="7">
        <v>4018000</v>
      </c>
      <c r="K6" s="7" t="s">
        <v>193</v>
      </c>
      <c r="L6" s="8">
        <v>24965</v>
      </c>
      <c r="M6" s="7" t="s">
        <v>24</v>
      </c>
      <c r="N6" s="7" t="s">
        <v>166</v>
      </c>
      <c r="O6" s="44"/>
      <c r="P6" s="45"/>
      <c r="Q6" s="45"/>
      <c r="R6" s="46"/>
      <c r="S6" s="7">
        <v>0</v>
      </c>
    </row>
    <row r="7" spans="1:19">
      <c r="A7" s="7" t="s">
        <v>172</v>
      </c>
      <c r="B7" s="7" t="s">
        <v>182</v>
      </c>
      <c r="C7" s="7" t="s">
        <v>714</v>
      </c>
      <c r="D7" s="7" t="s">
        <v>194</v>
      </c>
      <c r="E7" s="9">
        <v>46023</v>
      </c>
      <c r="F7" s="17">
        <v>1560</v>
      </c>
      <c r="G7" s="22">
        <v>0</v>
      </c>
      <c r="H7" s="22">
        <v>1560</v>
      </c>
      <c r="I7" s="14" t="s">
        <v>195</v>
      </c>
      <c r="J7" s="7">
        <v>12286060</v>
      </c>
      <c r="K7" s="7" t="s">
        <v>196</v>
      </c>
      <c r="L7" s="8">
        <v>33328</v>
      </c>
      <c r="M7" s="7" t="s">
        <v>197</v>
      </c>
      <c r="N7" s="7" t="s">
        <v>177</v>
      </c>
      <c r="O7" s="44"/>
      <c r="P7" s="45"/>
      <c r="Q7" s="45"/>
      <c r="R7" s="46"/>
      <c r="S7" s="7">
        <v>0</v>
      </c>
    </row>
    <row r="8" spans="1:19">
      <c r="A8" s="7" t="s">
        <v>172</v>
      </c>
      <c r="B8" s="7" t="s">
        <v>182</v>
      </c>
      <c r="C8" s="7" t="s">
        <v>198</v>
      </c>
      <c r="D8" s="7" t="s">
        <v>199</v>
      </c>
      <c r="E8" s="9">
        <v>46023</v>
      </c>
      <c r="F8" s="17">
        <v>2350</v>
      </c>
      <c r="G8" s="22">
        <v>0</v>
      </c>
      <c r="H8" s="22">
        <v>2350</v>
      </c>
      <c r="I8" s="14" t="s">
        <v>200</v>
      </c>
      <c r="J8" s="7">
        <v>12285859</v>
      </c>
      <c r="K8" s="7" t="s">
        <v>175</v>
      </c>
      <c r="L8" s="8">
        <v>23329</v>
      </c>
      <c r="M8" s="7" t="s">
        <v>197</v>
      </c>
      <c r="N8" s="7" t="s">
        <v>177</v>
      </c>
      <c r="O8" s="44"/>
      <c r="P8" s="45"/>
      <c r="Q8" s="45"/>
      <c r="R8" s="46"/>
      <c r="S8" s="7">
        <v>0</v>
      </c>
    </row>
    <row r="9" spans="1:19">
      <c r="A9" s="7" t="s">
        <v>181</v>
      </c>
      <c r="B9" s="7" t="s">
        <v>182</v>
      </c>
      <c r="C9" s="7" t="s">
        <v>201</v>
      </c>
      <c r="D9" s="7" t="s">
        <v>202</v>
      </c>
      <c r="E9" s="9">
        <v>46023</v>
      </c>
      <c r="F9" s="17">
        <v>1100</v>
      </c>
      <c r="G9" s="22">
        <v>0</v>
      </c>
      <c r="H9" s="22">
        <v>1100</v>
      </c>
      <c r="I9" s="14" t="s">
        <v>203</v>
      </c>
      <c r="J9" s="7">
        <v>12228004</v>
      </c>
      <c r="K9" s="7" t="s">
        <v>185</v>
      </c>
      <c r="L9" s="8">
        <v>35725</v>
      </c>
      <c r="M9" s="7" t="s">
        <v>204</v>
      </c>
      <c r="N9" s="7" t="s">
        <v>186</v>
      </c>
      <c r="O9" s="44"/>
      <c r="P9" s="45"/>
      <c r="Q9" s="45"/>
      <c r="R9" s="46"/>
      <c r="S9" s="7">
        <v>0</v>
      </c>
    </row>
    <row r="10" spans="1:19">
      <c r="A10" s="7" t="s">
        <v>181</v>
      </c>
      <c r="B10" s="7" t="s">
        <v>182</v>
      </c>
      <c r="C10" s="7" t="s">
        <v>715</v>
      </c>
      <c r="D10" s="7" t="s">
        <v>205</v>
      </c>
      <c r="E10" s="9">
        <v>46023</v>
      </c>
      <c r="F10" s="17">
        <v>1200</v>
      </c>
      <c r="G10" s="22">
        <v>0</v>
      </c>
      <c r="H10" s="22">
        <v>1200</v>
      </c>
      <c r="I10" s="14" t="s">
        <v>206</v>
      </c>
      <c r="J10" s="7">
        <v>12226794</v>
      </c>
      <c r="K10" s="7" t="s">
        <v>185</v>
      </c>
      <c r="L10" s="8">
        <v>25769</v>
      </c>
      <c r="M10" s="7" t="s">
        <v>24</v>
      </c>
      <c r="N10" s="7" t="s">
        <v>186</v>
      </c>
      <c r="O10" s="44"/>
      <c r="P10" s="45"/>
      <c r="Q10" s="45"/>
      <c r="R10" s="46"/>
      <c r="S10" s="7">
        <v>0</v>
      </c>
    </row>
    <row r="11" spans="1:19">
      <c r="A11" s="7" t="s">
        <v>181</v>
      </c>
      <c r="B11" s="7" t="s">
        <v>182</v>
      </c>
      <c r="C11" s="7" t="s">
        <v>716</v>
      </c>
      <c r="D11" s="7" t="s">
        <v>207</v>
      </c>
      <c r="E11" s="9">
        <v>46023</v>
      </c>
      <c r="F11" s="19">
        <v>1005</v>
      </c>
      <c r="G11" s="23">
        <v>0</v>
      </c>
      <c r="H11" s="23">
        <v>1005</v>
      </c>
      <c r="I11" s="14" t="s">
        <v>208</v>
      </c>
      <c r="J11" s="7">
        <v>12246030</v>
      </c>
      <c r="K11" s="7" t="s">
        <v>209</v>
      </c>
      <c r="L11" s="8">
        <v>31130</v>
      </c>
      <c r="M11" s="7" t="s">
        <v>31</v>
      </c>
      <c r="N11" s="7" t="s">
        <v>186</v>
      </c>
      <c r="O11" s="44"/>
      <c r="P11" s="45"/>
      <c r="Q11" s="45"/>
      <c r="R11" s="46"/>
      <c r="S11" s="7">
        <v>0</v>
      </c>
    </row>
    <row r="12" spans="1:19" ht="15.75">
      <c r="A12" s="7"/>
      <c r="B12" s="7"/>
      <c r="C12" s="7"/>
      <c r="D12" s="7"/>
      <c r="E12" s="10"/>
      <c r="F12" s="20">
        <f>SUM(F2:F11)</f>
        <v>20665</v>
      </c>
      <c r="G12" s="24">
        <f>SUM(G2:G11)</f>
        <v>333.31</v>
      </c>
      <c r="H12" s="24">
        <f>SUM(H2:H11)</f>
        <v>20331.689999999999</v>
      </c>
      <c r="I12" s="15"/>
      <c r="J12" s="11"/>
      <c r="K12" s="11"/>
      <c r="L12" s="11"/>
      <c r="M12" s="11"/>
      <c r="N12" s="11"/>
      <c r="O12" s="11"/>
      <c r="P12" s="11"/>
      <c r="Q12" s="11"/>
      <c r="R12" s="11"/>
      <c r="S12" s="12"/>
    </row>
  </sheetData>
  <mergeCells count="9">
    <mergeCell ref="O9:R9"/>
    <mergeCell ref="O10:R10"/>
    <mergeCell ref="O11:R11"/>
    <mergeCell ref="O3:R3"/>
    <mergeCell ref="O4:R4"/>
    <mergeCell ref="O5:R5"/>
    <mergeCell ref="O6:R6"/>
    <mergeCell ref="O7:R7"/>
    <mergeCell ref="O8:R8"/>
  </mergeCells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S20"/>
  <sheetViews>
    <sheetView showGridLines="0" workbookViewId="0">
      <selection activeCell="C14" sqref="C14"/>
    </sheetView>
  </sheetViews>
  <sheetFormatPr defaultRowHeight="14.25"/>
  <cols>
    <col min="1" max="1" width="16.85546875" style="6" bestFit="1" customWidth="1"/>
    <col min="2" max="2" width="19.85546875" style="6" bestFit="1" customWidth="1"/>
    <col min="3" max="3" width="41.7109375" style="6" bestFit="1" customWidth="1"/>
    <col min="4" max="4" width="15.5703125" style="6" bestFit="1" customWidth="1"/>
    <col min="5" max="5" width="10.42578125" style="6" bestFit="1" customWidth="1"/>
    <col min="6" max="6" width="15" style="21" bestFit="1" customWidth="1"/>
    <col min="7" max="7" width="9.140625" style="25" bestFit="1" customWidth="1"/>
    <col min="8" max="8" width="16.42578125" style="25" bestFit="1" customWidth="1"/>
    <col min="9" max="9" width="38.85546875" style="16" bestFit="1" customWidth="1"/>
    <col min="10" max="10" width="10.85546875" style="6" bestFit="1" customWidth="1"/>
    <col min="11" max="11" width="22.28515625" style="6" bestFit="1" customWidth="1"/>
    <col min="12" max="12" width="18.140625" style="6" bestFit="1" customWidth="1"/>
    <col min="13" max="13" width="12.5703125" style="6" bestFit="1" customWidth="1"/>
    <col min="14" max="14" width="25.7109375" style="6" bestFit="1" customWidth="1"/>
    <col min="15" max="15" width="30.42578125" style="6" bestFit="1" customWidth="1"/>
    <col min="16" max="16" width="19.28515625" style="6" bestFit="1" customWidth="1"/>
    <col min="17" max="17" width="17.7109375" style="6" bestFit="1" customWidth="1"/>
    <col min="18" max="18" width="12.140625" style="6" bestFit="1" customWidth="1"/>
    <col min="19" max="19" width="2.140625" style="6" bestFit="1" customWidth="1"/>
    <col min="20" max="16384" width="9.140625" style="6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8" t="s">
        <v>6</v>
      </c>
      <c r="H1" s="18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5"/>
    </row>
    <row r="2" spans="1:19">
      <c r="A2" s="7" t="s">
        <v>100</v>
      </c>
      <c r="B2" s="7" t="s">
        <v>101</v>
      </c>
      <c r="C2" s="7" t="s">
        <v>102</v>
      </c>
      <c r="D2" s="7" t="s">
        <v>103</v>
      </c>
      <c r="E2" s="9">
        <v>46023</v>
      </c>
      <c r="F2" s="17">
        <v>2800</v>
      </c>
      <c r="G2" s="22">
        <v>0</v>
      </c>
      <c r="H2" s="22">
        <v>2800</v>
      </c>
      <c r="I2" s="14" t="s">
        <v>104</v>
      </c>
      <c r="J2" s="7">
        <v>13219442</v>
      </c>
      <c r="K2" s="7" t="s">
        <v>105</v>
      </c>
      <c r="L2" s="8">
        <v>24570</v>
      </c>
      <c r="M2" s="7" t="s">
        <v>31</v>
      </c>
      <c r="N2" s="7" t="s">
        <v>46</v>
      </c>
      <c r="O2" s="44"/>
      <c r="P2" s="45"/>
      <c r="Q2" s="45"/>
      <c r="R2" s="46"/>
      <c r="S2" s="7">
        <v>0</v>
      </c>
    </row>
    <row r="3" spans="1:19">
      <c r="A3" s="7" t="s">
        <v>100</v>
      </c>
      <c r="B3" s="7" t="s">
        <v>101</v>
      </c>
      <c r="C3" s="7" t="s">
        <v>106</v>
      </c>
      <c r="D3" s="7" t="s">
        <v>107</v>
      </c>
      <c r="E3" s="9">
        <v>46023</v>
      </c>
      <c r="F3" s="17">
        <v>2800</v>
      </c>
      <c r="G3" s="22">
        <v>0</v>
      </c>
      <c r="H3" s="22">
        <v>2800</v>
      </c>
      <c r="I3" s="14" t="s">
        <v>104</v>
      </c>
      <c r="J3" s="7">
        <v>13219442</v>
      </c>
      <c r="K3" s="7" t="s">
        <v>108</v>
      </c>
      <c r="L3" s="8">
        <v>26183</v>
      </c>
      <c r="M3" s="7" t="s">
        <v>31</v>
      </c>
      <c r="N3" s="7" t="s">
        <v>46</v>
      </c>
      <c r="O3" s="44"/>
      <c r="P3" s="45"/>
      <c r="Q3" s="45"/>
      <c r="R3" s="46"/>
      <c r="S3" s="7">
        <v>0</v>
      </c>
    </row>
    <row r="4" spans="1:19">
      <c r="A4" s="29" t="s">
        <v>109</v>
      </c>
      <c r="B4" s="29" t="s">
        <v>101</v>
      </c>
      <c r="C4" s="48" t="s">
        <v>110</v>
      </c>
      <c r="D4" s="29" t="s">
        <v>111</v>
      </c>
      <c r="E4" s="32">
        <v>46023</v>
      </c>
      <c r="F4" s="35">
        <v>2400</v>
      </c>
      <c r="G4" s="38">
        <v>0</v>
      </c>
      <c r="H4" s="38">
        <v>2400</v>
      </c>
      <c r="I4" s="41" t="s">
        <v>112</v>
      </c>
      <c r="J4" s="29">
        <v>13040102</v>
      </c>
      <c r="K4" s="29" t="s">
        <v>23</v>
      </c>
      <c r="L4" s="26">
        <v>29877</v>
      </c>
      <c r="M4" s="29" t="s">
        <v>24</v>
      </c>
      <c r="N4" s="29" t="s">
        <v>37</v>
      </c>
      <c r="O4" s="7" t="s">
        <v>113</v>
      </c>
      <c r="P4" s="8">
        <v>41753</v>
      </c>
      <c r="Q4" s="7" t="s">
        <v>114</v>
      </c>
      <c r="R4" s="7" t="s">
        <v>28</v>
      </c>
      <c r="S4" s="29">
        <v>2</v>
      </c>
    </row>
    <row r="5" spans="1:19">
      <c r="A5" s="31"/>
      <c r="B5" s="31"/>
      <c r="C5" s="49"/>
      <c r="D5" s="31"/>
      <c r="E5" s="34"/>
      <c r="F5" s="37"/>
      <c r="G5" s="40"/>
      <c r="H5" s="40"/>
      <c r="I5" s="43"/>
      <c r="J5" s="31"/>
      <c r="K5" s="31"/>
      <c r="L5" s="28"/>
      <c r="M5" s="31"/>
      <c r="N5" s="31"/>
      <c r="O5" s="7" t="s">
        <v>115</v>
      </c>
      <c r="P5" s="8">
        <v>42221</v>
      </c>
      <c r="Q5" s="7" t="s">
        <v>116</v>
      </c>
      <c r="R5" s="7" t="s">
        <v>28</v>
      </c>
      <c r="S5" s="31"/>
    </row>
    <row r="6" spans="1:19">
      <c r="A6" s="7" t="s">
        <v>109</v>
      </c>
      <c r="B6" s="7" t="s">
        <v>101</v>
      </c>
      <c r="C6" s="7" t="s">
        <v>717</v>
      </c>
      <c r="D6" s="7" t="s">
        <v>117</v>
      </c>
      <c r="E6" s="9">
        <v>46023</v>
      </c>
      <c r="F6" s="17">
        <v>800</v>
      </c>
      <c r="G6" s="22">
        <v>0</v>
      </c>
      <c r="H6" s="22">
        <v>800</v>
      </c>
      <c r="I6" s="14" t="s">
        <v>118</v>
      </c>
      <c r="J6" s="7">
        <v>13050020</v>
      </c>
      <c r="K6" s="7" t="s">
        <v>119</v>
      </c>
      <c r="L6" s="8">
        <v>30886</v>
      </c>
      <c r="M6" s="7" t="s">
        <v>31</v>
      </c>
      <c r="N6" s="7" t="s">
        <v>66</v>
      </c>
      <c r="O6" s="44"/>
      <c r="P6" s="45"/>
      <c r="Q6" s="45"/>
      <c r="R6" s="46"/>
      <c r="S6" s="7">
        <v>0</v>
      </c>
    </row>
    <row r="7" spans="1:19" ht="15">
      <c r="A7" s="7" t="s">
        <v>109</v>
      </c>
      <c r="B7" s="7" t="s">
        <v>101</v>
      </c>
      <c r="C7" s="7" t="s">
        <v>718</v>
      </c>
      <c r="D7" s="7" t="s">
        <v>120</v>
      </c>
      <c r="E7" s="9">
        <v>46023</v>
      </c>
      <c r="F7" s="17">
        <v>2000</v>
      </c>
      <c r="G7" s="22">
        <v>0</v>
      </c>
      <c r="H7" s="22">
        <v>2000</v>
      </c>
      <c r="I7" s="14" t="s">
        <v>121</v>
      </c>
      <c r="J7" s="7">
        <v>13059591</v>
      </c>
      <c r="K7" s="7" t="s">
        <v>122</v>
      </c>
      <c r="L7" s="8">
        <v>34879</v>
      </c>
      <c r="M7" s="7" t="s">
        <v>123</v>
      </c>
      <c r="N7" s="7" t="s">
        <v>124</v>
      </c>
      <c r="O7" s="44"/>
      <c r="P7" s="45"/>
      <c r="Q7" s="45"/>
      <c r="R7" s="46"/>
      <c r="S7" s="7">
        <v>0</v>
      </c>
    </row>
    <row r="8" spans="1:19">
      <c r="A8" s="7" t="s">
        <v>109</v>
      </c>
      <c r="B8" s="7" t="s">
        <v>101</v>
      </c>
      <c r="C8" s="7" t="s">
        <v>719</v>
      </c>
      <c r="D8" s="7" t="s">
        <v>125</v>
      </c>
      <c r="E8" s="9">
        <v>46023</v>
      </c>
      <c r="F8" s="17">
        <v>2000</v>
      </c>
      <c r="G8" s="22">
        <v>0</v>
      </c>
      <c r="H8" s="22">
        <v>2000</v>
      </c>
      <c r="I8" s="14" t="s">
        <v>126</v>
      </c>
      <c r="J8" s="7" t="s">
        <v>127</v>
      </c>
      <c r="K8" s="7" t="s">
        <v>128</v>
      </c>
      <c r="L8" s="8">
        <v>32064</v>
      </c>
      <c r="M8" s="7" t="s">
        <v>24</v>
      </c>
      <c r="N8" s="7" t="s">
        <v>99</v>
      </c>
      <c r="O8" s="44"/>
      <c r="P8" s="45"/>
      <c r="Q8" s="45"/>
      <c r="R8" s="46"/>
      <c r="S8" s="7">
        <v>0</v>
      </c>
    </row>
    <row r="9" spans="1:19">
      <c r="A9" s="7" t="s">
        <v>109</v>
      </c>
      <c r="B9" s="7" t="s">
        <v>101</v>
      </c>
      <c r="C9" s="7" t="s">
        <v>720</v>
      </c>
      <c r="D9" s="7" t="s">
        <v>129</v>
      </c>
      <c r="E9" s="9">
        <v>46023</v>
      </c>
      <c r="F9" s="17">
        <v>2400</v>
      </c>
      <c r="G9" s="22">
        <v>0</v>
      </c>
      <c r="H9" s="22">
        <v>2400</v>
      </c>
      <c r="I9" s="14" t="s">
        <v>130</v>
      </c>
      <c r="J9" s="7">
        <v>13031375</v>
      </c>
      <c r="K9" s="7" t="s">
        <v>131</v>
      </c>
      <c r="L9" s="8">
        <v>33892</v>
      </c>
      <c r="M9" s="7" t="s">
        <v>31</v>
      </c>
      <c r="N9" s="7" t="s">
        <v>132</v>
      </c>
      <c r="O9" s="44"/>
      <c r="P9" s="45"/>
      <c r="Q9" s="45"/>
      <c r="R9" s="46"/>
      <c r="S9" s="7">
        <v>0</v>
      </c>
    </row>
    <row r="10" spans="1:19">
      <c r="A10" s="7" t="s">
        <v>109</v>
      </c>
      <c r="B10" s="7" t="s">
        <v>101</v>
      </c>
      <c r="C10" s="7" t="s">
        <v>721</v>
      </c>
      <c r="D10" s="7" t="s">
        <v>133</v>
      </c>
      <c r="E10" s="9">
        <v>46023</v>
      </c>
      <c r="F10" s="17">
        <v>1000</v>
      </c>
      <c r="G10" s="22">
        <v>0</v>
      </c>
      <c r="H10" s="22">
        <v>1000</v>
      </c>
      <c r="I10" s="14" t="s">
        <v>134</v>
      </c>
      <c r="J10" s="7">
        <v>13031375</v>
      </c>
      <c r="K10" s="7" t="s">
        <v>23</v>
      </c>
      <c r="L10" s="8">
        <v>34627</v>
      </c>
      <c r="M10" s="7" t="s">
        <v>24</v>
      </c>
      <c r="N10" s="7" t="s">
        <v>46</v>
      </c>
      <c r="O10" s="44"/>
      <c r="P10" s="45"/>
      <c r="Q10" s="45"/>
      <c r="R10" s="46"/>
      <c r="S10" s="7">
        <v>0</v>
      </c>
    </row>
    <row r="11" spans="1:19">
      <c r="A11" s="7" t="s">
        <v>109</v>
      </c>
      <c r="B11" s="7" t="s">
        <v>101</v>
      </c>
      <c r="C11" s="7" t="s">
        <v>722</v>
      </c>
      <c r="D11" s="7" t="s">
        <v>135</v>
      </c>
      <c r="E11" s="9">
        <v>46023</v>
      </c>
      <c r="F11" s="17">
        <v>500</v>
      </c>
      <c r="G11" s="22">
        <v>0</v>
      </c>
      <c r="H11" s="22">
        <v>500</v>
      </c>
      <c r="I11" s="14" t="s">
        <v>136</v>
      </c>
      <c r="J11" s="7">
        <v>13060055</v>
      </c>
      <c r="K11" s="7" t="s">
        <v>137</v>
      </c>
      <c r="L11" s="8">
        <v>37034</v>
      </c>
      <c r="M11" s="7" t="s">
        <v>138</v>
      </c>
      <c r="N11" s="7" t="s">
        <v>139</v>
      </c>
      <c r="O11" s="44"/>
      <c r="P11" s="45"/>
      <c r="Q11" s="45"/>
      <c r="R11" s="46"/>
      <c r="S11" s="7">
        <v>0</v>
      </c>
    </row>
    <row r="12" spans="1:19">
      <c r="A12" s="7" t="s">
        <v>109</v>
      </c>
      <c r="B12" s="7" t="s">
        <v>101</v>
      </c>
      <c r="C12" s="7" t="s">
        <v>140</v>
      </c>
      <c r="D12" s="7" t="s">
        <v>141</v>
      </c>
      <c r="E12" s="9">
        <v>46023</v>
      </c>
      <c r="F12" s="17">
        <v>837</v>
      </c>
      <c r="G12" s="22">
        <v>0</v>
      </c>
      <c r="H12" s="22">
        <v>837</v>
      </c>
      <c r="I12" s="14" t="s">
        <v>142</v>
      </c>
      <c r="J12" s="7">
        <v>13901703</v>
      </c>
      <c r="K12" s="7" t="s">
        <v>143</v>
      </c>
      <c r="L12" s="8">
        <v>25896</v>
      </c>
      <c r="M12" s="7" t="s">
        <v>24</v>
      </c>
      <c r="N12" s="7" t="s">
        <v>72</v>
      </c>
      <c r="O12" s="44"/>
      <c r="P12" s="45"/>
      <c r="Q12" s="45"/>
      <c r="R12" s="46"/>
      <c r="S12" s="7">
        <v>0</v>
      </c>
    </row>
    <row r="13" spans="1:19">
      <c r="A13" s="7" t="s">
        <v>109</v>
      </c>
      <c r="B13" s="7" t="s">
        <v>101</v>
      </c>
      <c r="C13" s="7" t="s">
        <v>708</v>
      </c>
      <c r="D13" s="7" t="s">
        <v>144</v>
      </c>
      <c r="E13" s="9">
        <v>46023</v>
      </c>
      <c r="F13" s="17">
        <v>2400</v>
      </c>
      <c r="G13" s="22">
        <v>0</v>
      </c>
      <c r="H13" s="22">
        <v>2400</v>
      </c>
      <c r="I13" s="14" t="s">
        <v>112</v>
      </c>
      <c r="J13" s="7">
        <v>13040102</v>
      </c>
      <c r="K13" s="7" t="s">
        <v>145</v>
      </c>
      <c r="L13" s="8">
        <v>30391</v>
      </c>
      <c r="M13" s="7" t="s">
        <v>146</v>
      </c>
      <c r="N13" s="7" t="s">
        <v>46</v>
      </c>
      <c r="O13" s="44"/>
      <c r="P13" s="45"/>
      <c r="Q13" s="45"/>
      <c r="R13" s="46"/>
      <c r="S13" s="7">
        <v>0</v>
      </c>
    </row>
    <row r="14" spans="1:19">
      <c r="A14" s="7" t="s">
        <v>109</v>
      </c>
      <c r="B14" s="7" t="s">
        <v>101</v>
      </c>
      <c r="C14" s="7" t="s">
        <v>723</v>
      </c>
      <c r="D14" s="7" t="s">
        <v>147</v>
      </c>
      <c r="E14" s="9">
        <v>46023</v>
      </c>
      <c r="F14" s="17">
        <v>1000</v>
      </c>
      <c r="G14" s="22">
        <v>0</v>
      </c>
      <c r="H14" s="22">
        <v>1000</v>
      </c>
      <c r="I14" s="14" t="s">
        <v>148</v>
      </c>
      <c r="J14" s="7">
        <v>13041306</v>
      </c>
      <c r="K14" s="7" t="s">
        <v>149</v>
      </c>
      <c r="L14" s="8">
        <v>33127</v>
      </c>
      <c r="M14" s="7" t="s">
        <v>24</v>
      </c>
      <c r="N14" s="7" t="s">
        <v>51</v>
      </c>
      <c r="O14" s="44"/>
      <c r="P14" s="45"/>
      <c r="Q14" s="45"/>
      <c r="R14" s="46"/>
      <c r="S14" s="7">
        <v>0</v>
      </c>
    </row>
    <row r="15" spans="1:19">
      <c r="A15" s="7" t="s">
        <v>109</v>
      </c>
      <c r="B15" s="7" t="s">
        <v>101</v>
      </c>
      <c r="C15" s="7" t="s">
        <v>724</v>
      </c>
      <c r="D15" s="7" t="s">
        <v>150</v>
      </c>
      <c r="E15" s="9">
        <v>46023</v>
      </c>
      <c r="F15" s="17">
        <v>500</v>
      </c>
      <c r="G15" s="22">
        <v>0</v>
      </c>
      <c r="H15" s="22">
        <v>500</v>
      </c>
      <c r="I15" s="14" t="s">
        <v>151</v>
      </c>
      <c r="J15" s="7">
        <v>13059611</v>
      </c>
      <c r="K15" s="7" t="s">
        <v>137</v>
      </c>
      <c r="L15" s="8">
        <v>39224</v>
      </c>
      <c r="M15" s="7" t="s">
        <v>138</v>
      </c>
      <c r="N15" s="7" t="s">
        <v>152</v>
      </c>
      <c r="O15" s="44"/>
      <c r="P15" s="45"/>
      <c r="Q15" s="45"/>
      <c r="R15" s="46"/>
      <c r="S15" s="7">
        <v>0</v>
      </c>
    </row>
    <row r="16" spans="1:19">
      <c r="A16" s="7" t="s">
        <v>739</v>
      </c>
      <c r="B16" s="7" t="s">
        <v>101</v>
      </c>
      <c r="C16" s="7" t="s">
        <v>153</v>
      </c>
      <c r="D16" s="7" t="s">
        <v>154</v>
      </c>
      <c r="E16" s="9">
        <v>46023</v>
      </c>
      <c r="F16" s="17">
        <v>2000</v>
      </c>
      <c r="G16" s="22">
        <v>0</v>
      </c>
      <c r="H16" s="22">
        <v>2000</v>
      </c>
      <c r="I16" s="14" t="s">
        <v>155</v>
      </c>
      <c r="J16" s="7">
        <v>4671050</v>
      </c>
      <c r="K16" s="7" t="s">
        <v>23</v>
      </c>
      <c r="L16" s="8">
        <v>32901</v>
      </c>
      <c r="M16" s="7" t="s">
        <v>31</v>
      </c>
      <c r="N16" s="7" t="s">
        <v>79</v>
      </c>
      <c r="O16" s="7" t="s">
        <v>156</v>
      </c>
      <c r="P16" s="8">
        <v>41817</v>
      </c>
      <c r="Q16" s="7" t="s">
        <v>157</v>
      </c>
      <c r="R16" s="7" t="s">
        <v>158</v>
      </c>
      <c r="S16" s="7">
        <v>1</v>
      </c>
    </row>
    <row r="17" spans="1:19">
      <c r="A17" s="7" t="s">
        <v>740</v>
      </c>
      <c r="B17" s="7" t="s">
        <v>101</v>
      </c>
      <c r="C17" s="7" t="s">
        <v>725</v>
      </c>
      <c r="D17" s="7" t="s">
        <v>159</v>
      </c>
      <c r="E17" s="9">
        <v>46023</v>
      </c>
      <c r="F17" s="17">
        <v>1000</v>
      </c>
      <c r="G17" s="22">
        <v>0</v>
      </c>
      <c r="H17" s="22">
        <v>1000</v>
      </c>
      <c r="I17" s="14" t="s">
        <v>160</v>
      </c>
      <c r="J17" s="7">
        <v>13100504</v>
      </c>
      <c r="K17" s="7" t="s">
        <v>44</v>
      </c>
      <c r="L17" s="8">
        <v>33285</v>
      </c>
      <c r="M17" s="7" t="s">
        <v>24</v>
      </c>
      <c r="N17" s="7" t="s">
        <v>161</v>
      </c>
      <c r="O17" s="44"/>
      <c r="P17" s="45"/>
      <c r="Q17" s="45"/>
      <c r="R17" s="46"/>
      <c r="S17" s="7">
        <v>0</v>
      </c>
    </row>
    <row r="18" spans="1:19">
      <c r="A18" s="7" t="s">
        <v>739</v>
      </c>
      <c r="B18" s="7" t="s">
        <v>101</v>
      </c>
      <c r="C18" s="7" t="s">
        <v>162</v>
      </c>
      <c r="D18" s="7" t="s">
        <v>163</v>
      </c>
      <c r="E18" s="9">
        <v>46023</v>
      </c>
      <c r="F18" s="17">
        <v>3000</v>
      </c>
      <c r="G18" s="22">
        <v>0</v>
      </c>
      <c r="H18" s="22">
        <v>3000</v>
      </c>
      <c r="I18" s="14" t="s">
        <v>164</v>
      </c>
      <c r="J18" s="7">
        <v>4018000</v>
      </c>
      <c r="K18" s="7" t="s">
        <v>165</v>
      </c>
      <c r="L18" s="8">
        <v>23600</v>
      </c>
      <c r="M18" s="7" t="s">
        <v>31</v>
      </c>
      <c r="N18" s="7" t="s">
        <v>166</v>
      </c>
      <c r="O18" s="44"/>
      <c r="P18" s="45"/>
      <c r="Q18" s="45"/>
      <c r="R18" s="46"/>
      <c r="S18" s="7">
        <v>0</v>
      </c>
    </row>
    <row r="19" spans="1:19">
      <c r="A19" s="7" t="s">
        <v>740</v>
      </c>
      <c r="B19" s="7" t="s">
        <v>101</v>
      </c>
      <c r="C19" s="7" t="s">
        <v>702</v>
      </c>
      <c r="D19" s="7" t="s">
        <v>167</v>
      </c>
      <c r="E19" s="9">
        <v>46023</v>
      </c>
      <c r="F19" s="19">
        <v>1500</v>
      </c>
      <c r="G19" s="23">
        <v>0</v>
      </c>
      <c r="H19" s="23">
        <v>1500</v>
      </c>
      <c r="I19" s="14" t="s">
        <v>168</v>
      </c>
      <c r="J19" s="7">
        <v>69312012</v>
      </c>
      <c r="K19" s="7" t="s">
        <v>169</v>
      </c>
      <c r="L19" s="8">
        <v>29554</v>
      </c>
      <c r="M19" s="7" t="s">
        <v>31</v>
      </c>
      <c r="N19" s="7" t="s">
        <v>72</v>
      </c>
      <c r="O19" s="7" t="s">
        <v>170</v>
      </c>
      <c r="P19" s="8">
        <v>42118</v>
      </c>
      <c r="Q19" s="7" t="s">
        <v>171</v>
      </c>
      <c r="R19" s="7" t="s">
        <v>158</v>
      </c>
      <c r="S19" s="7">
        <v>1</v>
      </c>
    </row>
    <row r="20" spans="1:19" ht="15.75">
      <c r="A20" s="7"/>
      <c r="B20" s="7"/>
      <c r="C20" s="7"/>
      <c r="D20" s="7"/>
      <c r="E20" s="10"/>
      <c r="F20" s="20">
        <f>SUM(F2:F19)</f>
        <v>28937</v>
      </c>
      <c r="G20" s="24">
        <f>SUM(G2:G19)</f>
        <v>0</v>
      </c>
      <c r="H20" s="24">
        <f>SUM(H2:H19)</f>
        <v>28937</v>
      </c>
      <c r="I20" s="15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29">
    <mergeCell ref="O18:R18"/>
    <mergeCell ref="O11:R11"/>
    <mergeCell ref="O12:R12"/>
    <mergeCell ref="O13:R13"/>
    <mergeCell ref="O14:R14"/>
    <mergeCell ref="O15:R15"/>
    <mergeCell ref="O17:R17"/>
    <mergeCell ref="S4:S5"/>
    <mergeCell ref="O6:R6"/>
    <mergeCell ref="O7:R7"/>
    <mergeCell ref="O8:R8"/>
    <mergeCell ref="O9:R9"/>
    <mergeCell ref="O10:R10"/>
    <mergeCell ref="I4:I5"/>
    <mergeCell ref="J4:J5"/>
    <mergeCell ref="K4:K5"/>
    <mergeCell ref="L4:L5"/>
    <mergeCell ref="M4:M5"/>
    <mergeCell ref="N4:N5"/>
    <mergeCell ref="O2:R2"/>
    <mergeCell ref="O3:R3"/>
    <mergeCell ref="A4:A5"/>
    <mergeCell ref="B4:B5"/>
    <mergeCell ref="D4:D5"/>
    <mergeCell ref="E4:E5"/>
    <mergeCell ref="F4:F5"/>
    <mergeCell ref="G4:G5"/>
    <mergeCell ref="H4:H5"/>
    <mergeCell ref="C4:C5"/>
  </mergeCells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S24"/>
  <sheetViews>
    <sheetView showGridLines="0" tabSelected="1" workbookViewId="0">
      <selection activeCell="F10" sqref="F10"/>
    </sheetView>
  </sheetViews>
  <sheetFormatPr defaultRowHeight="14.25"/>
  <cols>
    <col min="1" max="1" width="18" style="6" bestFit="1" customWidth="1"/>
    <col min="2" max="2" width="19.85546875" style="6" bestFit="1" customWidth="1"/>
    <col min="3" max="3" width="36.5703125" style="6" bestFit="1" customWidth="1"/>
    <col min="4" max="4" width="15.5703125" style="6" bestFit="1" customWidth="1"/>
    <col min="5" max="5" width="10.42578125" style="6" bestFit="1" customWidth="1"/>
    <col min="6" max="6" width="15" style="21" bestFit="1" customWidth="1"/>
    <col min="7" max="7" width="9.140625" style="25" bestFit="1" customWidth="1"/>
    <col min="8" max="8" width="16.42578125" style="25" bestFit="1" customWidth="1"/>
    <col min="9" max="9" width="30.85546875" style="16" bestFit="1" customWidth="1"/>
    <col min="10" max="10" width="10.140625" style="6" bestFit="1" customWidth="1"/>
    <col min="11" max="11" width="19.140625" style="6" bestFit="1" customWidth="1"/>
    <col min="12" max="12" width="18.140625" style="6" bestFit="1" customWidth="1"/>
    <col min="13" max="13" width="12.5703125" style="6" bestFit="1" customWidth="1"/>
    <col min="14" max="14" width="24.85546875" style="6" bestFit="1" customWidth="1"/>
    <col min="15" max="15" width="26.85546875" style="6" bestFit="1" customWidth="1"/>
    <col min="16" max="16" width="19.28515625" style="6" bestFit="1" customWidth="1"/>
    <col min="17" max="17" width="17.7109375" style="6" bestFit="1" customWidth="1"/>
    <col min="18" max="18" width="12.140625" style="6" bestFit="1" customWidth="1"/>
    <col min="19" max="19" width="2.140625" style="6" bestFit="1" customWidth="1"/>
    <col min="20" max="16384" width="9.140625" style="6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8" t="s">
        <v>6</v>
      </c>
      <c r="H1" s="18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5"/>
    </row>
    <row r="2" spans="1:19">
      <c r="A2" s="47">
        <v>0.04</v>
      </c>
      <c r="B2" s="7" t="s">
        <v>19</v>
      </c>
      <c r="C2" s="7" t="s">
        <v>20</v>
      </c>
      <c r="D2" s="7" t="s">
        <v>21</v>
      </c>
      <c r="E2" s="9">
        <v>46023</v>
      </c>
      <c r="F2" s="17">
        <v>5000</v>
      </c>
      <c r="G2" s="22">
        <v>0</v>
      </c>
      <c r="H2" s="22">
        <v>5000</v>
      </c>
      <c r="I2" s="14" t="s">
        <v>22</v>
      </c>
      <c r="J2" s="7">
        <v>4302020</v>
      </c>
      <c r="K2" s="7" t="s">
        <v>23</v>
      </c>
      <c r="L2" s="8">
        <v>28369</v>
      </c>
      <c r="M2" s="7" t="s">
        <v>24</v>
      </c>
      <c r="N2" s="7" t="s">
        <v>25</v>
      </c>
      <c r="O2" s="7" t="s">
        <v>26</v>
      </c>
      <c r="P2" s="8">
        <v>39104</v>
      </c>
      <c r="Q2" s="7" t="s">
        <v>27</v>
      </c>
      <c r="R2" s="7" t="s">
        <v>28</v>
      </c>
      <c r="S2" s="7">
        <v>1</v>
      </c>
    </row>
    <row r="3" spans="1:19">
      <c r="A3" s="47">
        <v>0.04</v>
      </c>
      <c r="B3" s="7" t="s">
        <v>19</v>
      </c>
      <c r="C3" s="7" t="s">
        <v>29</v>
      </c>
      <c r="D3" s="7" t="s">
        <v>30</v>
      </c>
      <c r="E3" s="9">
        <v>46023</v>
      </c>
      <c r="F3" s="17">
        <v>5000</v>
      </c>
      <c r="G3" s="22">
        <v>0</v>
      </c>
      <c r="H3" s="22">
        <v>5000</v>
      </c>
      <c r="I3" s="14" t="s">
        <v>22</v>
      </c>
      <c r="J3" s="7">
        <v>4302020</v>
      </c>
      <c r="K3" s="7" t="s">
        <v>23</v>
      </c>
      <c r="L3" s="8">
        <v>27837</v>
      </c>
      <c r="M3" s="7" t="s">
        <v>31</v>
      </c>
      <c r="N3" s="7" t="s">
        <v>32</v>
      </c>
      <c r="O3" s="44"/>
      <c r="P3" s="45"/>
      <c r="Q3" s="45"/>
      <c r="R3" s="46"/>
      <c r="S3" s="7">
        <v>0</v>
      </c>
    </row>
    <row r="4" spans="1:19">
      <c r="A4" s="7" t="s">
        <v>33</v>
      </c>
      <c r="B4" s="7" t="s">
        <v>19</v>
      </c>
      <c r="C4" s="7" t="s">
        <v>726</v>
      </c>
      <c r="D4" s="7" t="s">
        <v>34</v>
      </c>
      <c r="E4" s="9">
        <v>46023</v>
      </c>
      <c r="F4" s="17">
        <v>2000</v>
      </c>
      <c r="G4" s="22">
        <v>0</v>
      </c>
      <c r="H4" s="22">
        <v>2000</v>
      </c>
      <c r="I4" s="14" t="s">
        <v>35</v>
      </c>
      <c r="J4" s="7">
        <v>9572015</v>
      </c>
      <c r="K4" s="7" t="s">
        <v>36</v>
      </c>
      <c r="L4" s="8">
        <v>20979</v>
      </c>
      <c r="M4" s="7" t="s">
        <v>31</v>
      </c>
      <c r="N4" s="7" t="s">
        <v>37</v>
      </c>
      <c r="O4" s="44"/>
      <c r="P4" s="45"/>
      <c r="Q4" s="45"/>
      <c r="R4" s="46"/>
      <c r="S4" s="7">
        <v>0</v>
      </c>
    </row>
    <row r="5" spans="1:19">
      <c r="A5" s="7" t="s">
        <v>18</v>
      </c>
      <c r="B5" s="7" t="s">
        <v>19</v>
      </c>
      <c r="C5" s="7" t="s">
        <v>38</v>
      </c>
      <c r="D5" s="7" t="s">
        <v>39</v>
      </c>
      <c r="E5" s="9">
        <v>46023</v>
      </c>
      <c r="F5" s="17">
        <v>1000</v>
      </c>
      <c r="G5" s="22">
        <v>0</v>
      </c>
      <c r="H5" s="22">
        <v>1000</v>
      </c>
      <c r="I5" s="14" t="s">
        <v>40</v>
      </c>
      <c r="J5" s="7">
        <v>1330010</v>
      </c>
      <c r="K5" s="7" t="s">
        <v>41</v>
      </c>
      <c r="L5" s="8">
        <v>31192</v>
      </c>
      <c r="M5" s="7" t="s">
        <v>31</v>
      </c>
      <c r="N5" s="7" t="s">
        <v>37</v>
      </c>
      <c r="O5" s="44"/>
      <c r="P5" s="45"/>
      <c r="Q5" s="45"/>
      <c r="R5" s="46"/>
      <c r="S5" s="7">
        <v>0</v>
      </c>
    </row>
    <row r="6" spans="1:19">
      <c r="A6" s="7" t="s">
        <v>18</v>
      </c>
      <c r="B6" s="7" t="s">
        <v>19</v>
      </c>
      <c r="C6" s="7" t="s">
        <v>727</v>
      </c>
      <c r="D6" s="7" t="s">
        <v>42</v>
      </c>
      <c r="E6" s="9">
        <v>46023</v>
      </c>
      <c r="F6" s="17">
        <v>300</v>
      </c>
      <c r="G6" s="22">
        <v>0</v>
      </c>
      <c r="H6" s="22">
        <v>300</v>
      </c>
      <c r="I6" s="14" t="s">
        <v>43</v>
      </c>
      <c r="J6" s="7">
        <v>9560200</v>
      </c>
      <c r="K6" s="7" t="s">
        <v>44</v>
      </c>
      <c r="L6" s="8">
        <v>34392</v>
      </c>
      <c r="M6" s="7" t="s">
        <v>45</v>
      </c>
      <c r="N6" s="7" t="s">
        <v>46</v>
      </c>
      <c r="O6" s="44"/>
      <c r="P6" s="45"/>
      <c r="Q6" s="45"/>
      <c r="R6" s="46"/>
      <c r="S6" s="7">
        <v>0</v>
      </c>
    </row>
    <row r="7" spans="1:19">
      <c r="A7" s="7" t="s">
        <v>18</v>
      </c>
      <c r="B7" s="7" t="s">
        <v>19</v>
      </c>
      <c r="C7" s="7" t="s">
        <v>728</v>
      </c>
      <c r="D7" s="7" t="s">
        <v>47</v>
      </c>
      <c r="E7" s="9">
        <v>46023</v>
      </c>
      <c r="F7" s="17">
        <v>300</v>
      </c>
      <c r="G7" s="22">
        <v>0</v>
      </c>
      <c r="H7" s="22">
        <v>300</v>
      </c>
      <c r="I7" s="14" t="s">
        <v>48</v>
      </c>
      <c r="J7" s="7">
        <v>9291250</v>
      </c>
      <c r="K7" s="7" t="s">
        <v>44</v>
      </c>
      <c r="L7" s="8">
        <v>35401</v>
      </c>
      <c r="M7" s="7" t="s">
        <v>31</v>
      </c>
      <c r="N7" s="7" t="s">
        <v>46</v>
      </c>
      <c r="O7" s="44"/>
      <c r="P7" s="45"/>
      <c r="Q7" s="45"/>
      <c r="R7" s="46"/>
      <c r="S7" s="7">
        <v>0</v>
      </c>
    </row>
    <row r="8" spans="1:19">
      <c r="A8" s="7" t="s">
        <v>18</v>
      </c>
      <c r="B8" s="7" t="s">
        <v>19</v>
      </c>
      <c r="C8" s="7" t="s">
        <v>729</v>
      </c>
      <c r="D8" s="7" t="s">
        <v>49</v>
      </c>
      <c r="E8" s="9">
        <v>46023</v>
      </c>
      <c r="F8" s="17">
        <v>1000</v>
      </c>
      <c r="G8" s="22">
        <v>0</v>
      </c>
      <c r="H8" s="22">
        <v>1000</v>
      </c>
      <c r="I8" s="14" t="s">
        <v>50</v>
      </c>
      <c r="J8" s="7">
        <v>4191050</v>
      </c>
      <c r="K8" s="7" t="s">
        <v>44</v>
      </c>
      <c r="L8" s="8">
        <v>32183</v>
      </c>
      <c r="M8" s="7" t="s">
        <v>24</v>
      </c>
      <c r="N8" s="7" t="s">
        <v>51</v>
      </c>
      <c r="O8" s="44"/>
      <c r="P8" s="45"/>
      <c r="Q8" s="45"/>
      <c r="R8" s="46"/>
      <c r="S8" s="7">
        <v>0</v>
      </c>
    </row>
    <row r="9" spans="1:19">
      <c r="A9" s="7" t="s">
        <v>52</v>
      </c>
      <c r="B9" s="7" t="s">
        <v>19</v>
      </c>
      <c r="C9" s="7" t="s">
        <v>730</v>
      </c>
      <c r="D9" s="7" t="s">
        <v>53</v>
      </c>
      <c r="E9" s="9">
        <v>46023</v>
      </c>
      <c r="F9" s="17">
        <v>1000</v>
      </c>
      <c r="G9" s="22">
        <v>0</v>
      </c>
      <c r="H9" s="22">
        <v>1000</v>
      </c>
      <c r="I9" s="14" t="s">
        <v>40</v>
      </c>
      <c r="J9" s="7">
        <v>1330010</v>
      </c>
      <c r="K9" s="7" t="s">
        <v>44</v>
      </c>
      <c r="L9" s="8">
        <v>31222</v>
      </c>
      <c r="M9" s="7" t="s">
        <v>31</v>
      </c>
      <c r="N9" s="7" t="s">
        <v>32</v>
      </c>
      <c r="O9" s="44"/>
      <c r="P9" s="45"/>
      <c r="Q9" s="45"/>
      <c r="R9" s="46"/>
      <c r="S9" s="7">
        <v>0</v>
      </c>
    </row>
    <row r="10" spans="1:19">
      <c r="A10" s="7" t="s">
        <v>18</v>
      </c>
      <c r="B10" s="7" t="s">
        <v>19</v>
      </c>
      <c r="C10" s="7" t="s">
        <v>731</v>
      </c>
      <c r="D10" s="7" t="s">
        <v>54</v>
      </c>
      <c r="E10" s="9">
        <v>46023</v>
      </c>
      <c r="F10" s="17">
        <v>3505</v>
      </c>
      <c r="G10" s="22">
        <v>0</v>
      </c>
      <c r="H10" s="22">
        <v>3505</v>
      </c>
      <c r="I10" s="14" t="s">
        <v>55</v>
      </c>
      <c r="J10" s="7">
        <v>37795000</v>
      </c>
      <c r="K10" s="7" t="s">
        <v>23</v>
      </c>
      <c r="L10" s="8">
        <v>29014</v>
      </c>
      <c r="M10" s="7" t="s">
        <v>31</v>
      </c>
      <c r="N10" s="7" t="s">
        <v>46</v>
      </c>
      <c r="O10" s="44"/>
      <c r="P10" s="45"/>
      <c r="Q10" s="45"/>
      <c r="R10" s="46"/>
      <c r="S10" s="7">
        <v>0</v>
      </c>
    </row>
    <row r="11" spans="1:19">
      <c r="A11" s="7" t="s">
        <v>18</v>
      </c>
      <c r="B11" s="7" t="s">
        <v>19</v>
      </c>
      <c r="C11" s="7" t="s">
        <v>26</v>
      </c>
      <c r="D11" s="7" t="s">
        <v>27</v>
      </c>
      <c r="E11" s="9">
        <v>46023</v>
      </c>
      <c r="F11" s="17">
        <v>2000</v>
      </c>
      <c r="G11" s="22">
        <v>0</v>
      </c>
      <c r="H11" s="22">
        <v>2000</v>
      </c>
      <c r="I11" s="14" t="s">
        <v>56</v>
      </c>
      <c r="J11" s="7">
        <v>4302020</v>
      </c>
      <c r="K11" s="7" t="s">
        <v>57</v>
      </c>
      <c r="L11" s="8">
        <v>39104</v>
      </c>
      <c r="M11" s="7" t="s">
        <v>45</v>
      </c>
      <c r="N11" s="7" t="s">
        <v>58</v>
      </c>
      <c r="O11" s="44"/>
      <c r="P11" s="45"/>
      <c r="Q11" s="45"/>
      <c r="R11" s="46"/>
      <c r="S11" s="7">
        <v>0</v>
      </c>
    </row>
    <row r="12" spans="1:19">
      <c r="A12" s="7" t="s">
        <v>18</v>
      </c>
      <c r="B12" s="7" t="s">
        <v>19</v>
      </c>
      <c r="C12" s="7" t="s">
        <v>732</v>
      </c>
      <c r="D12" s="7" t="s">
        <v>59</v>
      </c>
      <c r="E12" s="9">
        <v>46023</v>
      </c>
      <c r="F12" s="17">
        <v>1800</v>
      </c>
      <c r="G12" s="22">
        <v>0</v>
      </c>
      <c r="H12" s="22">
        <v>1800</v>
      </c>
      <c r="I12" s="14" t="s">
        <v>60</v>
      </c>
      <c r="J12" s="7">
        <v>9851180</v>
      </c>
      <c r="K12" s="7" t="s">
        <v>61</v>
      </c>
      <c r="L12" s="8">
        <v>36580</v>
      </c>
      <c r="M12" s="7" t="s">
        <v>45</v>
      </c>
      <c r="N12" s="7" t="s">
        <v>62</v>
      </c>
      <c r="O12" s="44"/>
      <c r="P12" s="45"/>
      <c r="Q12" s="45"/>
      <c r="R12" s="46"/>
      <c r="S12" s="7">
        <v>0</v>
      </c>
    </row>
    <row r="13" spans="1:19">
      <c r="A13" s="47">
        <v>0.04</v>
      </c>
      <c r="B13" s="7" t="s">
        <v>19</v>
      </c>
      <c r="C13" s="7" t="s">
        <v>63</v>
      </c>
      <c r="D13" s="7" t="s">
        <v>64</v>
      </c>
      <c r="E13" s="9">
        <v>46023</v>
      </c>
      <c r="F13" s="17">
        <v>3500</v>
      </c>
      <c r="G13" s="22">
        <v>0</v>
      </c>
      <c r="H13" s="22">
        <v>3500</v>
      </c>
      <c r="I13" s="14" t="s">
        <v>65</v>
      </c>
      <c r="J13" s="7">
        <v>3105010</v>
      </c>
      <c r="K13" s="7" t="s">
        <v>44</v>
      </c>
      <c r="L13" s="8">
        <v>30644</v>
      </c>
      <c r="M13" s="7" t="s">
        <v>24</v>
      </c>
      <c r="N13" s="7" t="s">
        <v>66</v>
      </c>
      <c r="O13" s="44"/>
      <c r="P13" s="45"/>
      <c r="Q13" s="45"/>
      <c r="R13" s="46"/>
      <c r="S13" s="7">
        <v>0</v>
      </c>
    </row>
    <row r="14" spans="1:19">
      <c r="A14" s="7" t="s">
        <v>18</v>
      </c>
      <c r="B14" s="7" t="s">
        <v>19</v>
      </c>
      <c r="C14" s="7" t="s">
        <v>733</v>
      </c>
      <c r="D14" s="7" t="s">
        <v>67</v>
      </c>
      <c r="E14" s="9">
        <v>46023</v>
      </c>
      <c r="F14" s="17">
        <v>600</v>
      </c>
      <c r="G14" s="22">
        <v>0</v>
      </c>
      <c r="H14" s="22">
        <v>600</v>
      </c>
      <c r="I14" s="14" t="s">
        <v>68</v>
      </c>
      <c r="J14" s="7">
        <v>8051000</v>
      </c>
      <c r="K14" s="7" t="s">
        <v>44</v>
      </c>
      <c r="L14" s="8">
        <v>30552</v>
      </c>
      <c r="M14" s="7" t="s">
        <v>31</v>
      </c>
      <c r="N14" s="7" t="s">
        <v>69</v>
      </c>
      <c r="O14" s="44"/>
      <c r="P14" s="45"/>
      <c r="Q14" s="45"/>
      <c r="R14" s="46"/>
      <c r="S14" s="7">
        <v>0</v>
      </c>
    </row>
    <row r="15" spans="1:19">
      <c r="A15" s="7" t="s">
        <v>18</v>
      </c>
      <c r="B15" s="7" t="s">
        <v>19</v>
      </c>
      <c r="C15" s="7" t="s">
        <v>734</v>
      </c>
      <c r="D15" s="7" t="s">
        <v>70</v>
      </c>
      <c r="E15" s="9">
        <v>46023</v>
      </c>
      <c r="F15" s="17">
        <v>1800</v>
      </c>
      <c r="G15" s="22">
        <v>0</v>
      </c>
      <c r="H15" s="22">
        <v>1800</v>
      </c>
      <c r="I15" s="14" t="s">
        <v>71</v>
      </c>
      <c r="J15" s="7">
        <v>4163080</v>
      </c>
      <c r="K15" s="7" t="s">
        <v>44</v>
      </c>
      <c r="L15" s="8">
        <v>33243</v>
      </c>
      <c r="M15" s="7" t="s">
        <v>45</v>
      </c>
      <c r="N15" s="7" t="s">
        <v>72</v>
      </c>
      <c r="O15" s="44"/>
      <c r="P15" s="45"/>
      <c r="Q15" s="45"/>
      <c r="R15" s="46"/>
      <c r="S15" s="7">
        <v>0</v>
      </c>
    </row>
    <row r="16" spans="1:19">
      <c r="A16" s="7" t="s">
        <v>18</v>
      </c>
      <c r="B16" s="7" t="s">
        <v>19</v>
      </c>
      <c r="C16" s="7" t="s">
        <v>73</v>
      </c>
      <c r="D16" s="7" t="s">
        <v>74</v>
      </c>
      <c r="E16" s="9">
        <v>46023</v>
      </c>
      <c r="F16" s="17">
        <v>1000</v>
      </c>
      <c r="G16" s="22">
        <v>0</v>
      </c>
      <c r="H16" s="22">
        <v>1000</v>
      </c>
      <c r="I16" s="14" t="s">
        <v>75</v>
      </c>
      <c r="J16" s="7">
        <v>5882120</v>
      </c>
      <c r="K16" s="7" t="s">
        <v>44</v>
      </c>
      <c r="L16" s="8">
        <v>34650</v>
      </c>
      <c r="M16" s="7" t="s">
        <v>31</v>
      </c>
      <c r="N16" s="7" t="s">
        <v>37</v>
      </c>
      <c r="O16" s="44"/>
      <c r="P16" s="45"/>
      <c r="Q16" s="45"/>
      <c r="R16" s="46"/>
      <c r="S16" s="7">
        <v>0</v>
      </c>
    </row>
    <row r="17" spans="1:19">
      <c r="A17" s="7" t="s">
        <v>18</v>
      </c>
      <c r="B17" s="7" t="s">
        <v>19</v>
      </c>
      <c r="C17" s="7" t="s">
        <v>735</v>
      </c>
      <c r="D17" s="7" t="s">
        <v>76</v>
      </c>
      <c r="E17" s="9">
        <v>46023</v>
      </c>
      <c r="F17" s="17">
        <v>1500</v>
      </c>
      <c r="G17" s="22">
        <v>0</v>
      </c>
      <c r="H17" s="22">
        <v>1500</v>
      </c>
      <c r="I17" s="14" t="s">
        <v>77</v>
      </c>
      <c r="J17" s="7">
        <v>1308000</v>
      </c>
      <c r="K17" s="7" t="s">
        <v>78</v>
      </c>
      <c r="L17" s="8">
        <v>34371</v>
      </c>
      <c r="M17" s="7" t="s">
        <v>45</v>
      </c>
      <c r="N17" s="7" t="s">
        <v>79</v>
      </c>
      <c r="O17" s="44"/>
      <c r="P17" s="45"/>
      <c r="Q17" s="45"/>
      <c r="R17" s="46"/>
      <c r="S17" s="7">
        <v>0</v>
      </c>
    </row>
    <row r="18" spans="1:19">
      <c r="A18" s="47">
        <v>0.04</v>
      </c>
      <c r="B18" s="7" t="s">
        <v>19</v>
      </c>
      <c r="C18" s="7" t="s">
        <v>80</v>
      </c>
      <c r="D18" s="7" t="s">
        <v>81</v>
      </c>
      <c r="E18" s="9">
        <v>46023</v>
      </c>
      <c r="F18" s="17">
        <v>2500</v>
      </c>
      <c r="G18" s="22">
        <v>0</v>
      </c>
      <c r="H18" s="22">
        <v>2500</v>
      </c>
      <c r="I18" s="14" t="s">
        <v>55</v>
      </c>
      <c r="J18" s="7">
        <v>37795000</v>
      </c>
      <c r="K18" s="7" t="s">
        <v>23</v>
      </c>
      <c r="L18" s="8">
        <v>30136</v>
      </c>
      <c r="M18" s="7" t="s">
        <v>24</v>
      </c>
      <c r="N18" s="7" t="s">
        <v>46</v>
      </c>
      <c r="O18" s="44"/>
      <c r="P18" s="45"/>
      <c r="Q18" s="45"/>
      <c r="R18" s="46"/>
      <c r="S18" s="7">
        <v>0</v>
      </c>
    </row>
    <row r="19" spans="1:19">
      <c r="A19" s="7" t="s">
        <v>82</v>
      </c>
      <c r="B19" s="7" t="s">
        <v>19</v>
      </c>
      <c r="C19" s="7" t="s">
        <v>736</v>
      </c>
      <c r="D19" s="7" t="s">
        <v>83</v>
      </c>
      <c r="E19" s="9">
        <v>46023</v>
      </c>
      <c r="F19" s="17">
        <v>2000</v>
      </c>
      <c r="G19" s="22">
        <v>0</v>
      </c>
      <c r="H19" s="22">
        <v>2000</v>
      </c>
      <c r="I19" s="14" t="s">
        <v>84</v>
      </c>
      <c r="J19" s="7">
        <v>5528240</v>
      </c>
      <c r="K19" s="7" t="s">
        <v>44</v>
      </c>
      <c r="L19" s="8">
        <v>31418</v>
      </c>
      <c r="M19" s="7" t="s">
        <v>31</v>
      </c>
      <c r="N19" s="7" t="s">
        <v>66</v>
      </c>
      <c r="O19" s="44"/>
      <c r="P19" s="45"/>
      <c r="Q19" s="45"/>
      <c r="R19" s="46"/>
      <c r="S19" s="7">
        <v>0</v>
      </c>
    </row>
    <row r="20" spans="1:19">
      <c r="A20" s="7" t="s">
        <v>82</v>
      </c>
      <c r="B20" s="7" t="s">
        <v>19</v>
      </c>
      <c r="C20" s="7" t="s">
        <v>85</v>
      </c>
      <c r="D20" s="7" t="s">
        <v>86</v>
      </c>
      <c r="E20" s="9">
        <v>46023</v>
      </c>
      <c r="F20" s="17">
        <v>3000</v>
      </c>
      <c r="G20" s="22">
        <v>0</v>
      </c>
      <c r="H20" s="22">
        <v>3000</v>
      </c>
      <c r="I20" s="14" t="s">
        <v>87</v>
      </c>
      <c r="J20" s="7">
        <v>5528240</v>
      </c>
      <c r="K20" s="7" t="s">
        <v>41</v>
      </c>
      <c r="L20" s="8">
        <v>32725</v>
      </c>
      <c r="M20" s="7" t="s">
        <v>24</v>
      </c>
      <c r="N20" s="7" t="s">
        <v>66</v>
      </c>
      <c r="O20" s="44"/>
      <c r="P20" s="45"/>
      <c r="Q20" s="45"/>
      <c r="R20" s="46"/>
      <c r="S20" s="7">
        <v>0</v>
      </c>
    </row>
    <row r="21" spans="1:19">
      <c r="A21" s="7" t="s">
        <v>88</v>
      </c>
      <c r="B21" s="7" t="s">
        <v>19</v>
      </c>
      <c r="C21" s="7" t="s">
        <v>737</v>
      </c>
      <c r="D21" s="7" t="s">
        <v>89</v>
      </c>
      <c r="E21" s="9">
        <v>46023</v>
      </c>
      <c r="F21" s="17">
        <v>1600</v>
      </c>
      <c r="G21" s="22">
        <v>0</v>
      </c>
      <c r="H21" s="22">
        <v>1600</v>
      </c>
      <c r="I21" s="14" t="s">
        <v>90</v>
      </c>
      <c r="J21" s="7">
        <v>7661885</v>
      </c>
      <c r="K21" s="7" t="s">
        <v>91</v>
      </c>
      <c r="L21" s="8">
        <v>30771</v>
      </c>
      <c r="M21" s="7" t="s">
        <v>31</v>
      </c>
      <c r="N21" s="7" t="s">
        <v>32</v>
      </c>
      <c r="O21" s="44"/>
      <c r="P21" s="45"/>
      <c r="Q21" s="45"/>
      <c r="R21" s="46"/>
      <c r="S21" s="7">
        <v>0</v>
      </c>
    </row>
    <row r="22" spans="1:19">
      <c r="A22" s="47">
        <v>0.04</v>
      </c>
      <c r="B22" s="7" t="s">
        <v>19</v>
      </c>
      <c r="C22" s="7" t="s">
        <v>92</v>
      </c>
      <c r="D22" s="7" t="s">
        <v>93</v>
      </c>
      <c r="E22" s="9">
        <v>46023</v>
      </c>
      <c r="F22" s="17">
        <v>1800</v>
      </c>
      <c r="G22" s="22">
        <v>0</v>
      </c>
      <c r="H22" s="22">
        <v>1800</v>
      </c>
      <c r="I22" s="14" t="s">
        <v>94</v>
      </c>
      <c r="J22" s="7">
        <v>6763150</v>
      </c>
      <c r="K22" s="7" t="s">
        <v>44</v>
      </c>
      <c r="L22" s="8">
        <v>32537</v>
      </c>
      <c r="M22" s="7" t="s">
        <v>31</v>
      </c>
      <c r="N22" s="7" t="s">
        <v>51</v>
      </c>
      <c r="O22" s="44"/>
      <c r="P22" s="45"/>
      <c r="Q22" s="45"/>
      <c r="R22" s="46"/>
      <c r="S22" s="7">
        <v>0</v>
      </c>
    </row>
    <row r="23" spans="1:19">
      <c r="A23" s="7" t="s">
        <v>95</v>
      </c>
      <c r="B23" s="7" t="s">
        <v>19</v>
      </c>
      <c r="C23" s="7" t="s">
        <v>738</v>
      </c>
      <c r="D23" s="7" t="s">
        <v>96</v>
      </c>
      <c r="E23" s="9">
        <v>46023</v>
      </c>
      <c r="F23" s="19">
        <v>500</v>
      </c>
      <c r="G23" s="23">
        <v>0</v>
      </c>
      <c r="H23" s="23">
        <v>500</v>
      </c>
      <c r="I23" s="14" t="s">
        <v>97</v>
      </c>
      <c r="J23" s="7">
        <v>7787005</v>
      </c>
      <c r="K23" s="7" t="s">
        <v>98</v>
      </c>
      <c r="L23" s="8">
        <v>36157</v>
      </c>
      <c r="M23" s="7" t="s">
        <v>24</v>
      </c>
      <c r="N23" s="7" t="s">
        <v>99</v>
      </c>
      <c r="O23" s="44"/>
      <c r="P23" s="45"/>
      <c r="Q23" s="45"/>
      <c r="R23" s="46"/>
      <c r="S23" s="7">
        <v>0</v>
      </c>
    </row>
    <row r="24" spans="1:19" ht="15.75">
      <c r="A24" s="7"/>
      <c r="B24" s="7"/>
      <c r="C24" s="7"/>
      <c r="D24" s="7"/>
      <c r="E24" s="10"/>
      <c r="F24" s="20">
        <f>SUM(F2:F23)</f>
        <v>42705</v>
      </c>
      <c r="G24" s="24">
        <f>SUM(G2:G23)</f>
        <v>0</v>
      </c>
      <c r="H24" s="24">
        <f>SUM(H2:H23)</f>
        <v>42705</v>
      </c>
      <c r="I24" s="15"/>
      <c r="J24" s="11"/>
      <c r="K24" s="11"/>
      <c r="L24" s="11"/>
      <c r="M24" s="11"/>
      <c r="N24" s="11"/>
      <c r="O24" s="11"/>
      <c r="P24" s="11"/>
      <c r="Q24" s="11"/>
      <c r="R24" s="11"/>
      <c r="S24" s="12"/>
    </row>
  </sheetData>
  <mergeCells count="21">
    <mergeCell ref="O21:R21"/>
    <mergeCell ref="O22:R22"/>
    <mergeCell ref="O23:R23"/>
    <mergeCell ref="O15:R15"/>
    <mergeCell ref="O16:R16"/>
    <mergeCell ref="O17:R17"/>
    <mergeCell ref="O18:R18"/>
    <mergeCell ref="O19:R19"/>
    <mergeCell ref="O20:R20"/>
    <mergeCell ref="O14:R14"/>
    <mergeCell ref="O3:R3"/>
    <mergeCell ref="O4:R4"/>
    <mergeCell ref="O5:R5"/>
    <mergeCell ref="O6:R6"/>
    <mergeCell ref="O7:R7"/>
    <mergeCell ref="O8:R8"/>
    <mergeCell ref="O9:R9"/>
    <mergeCell ref="O10:R10"/>
    <mergeCell ref="O11:R11"/>
    <mergeCell ref="O12:R12"/>
    <mergeCell ref="O13:R1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ZN - 03.954.491 0001 - 06</vt:lpstr>
      <vt:lpstr>SP II - 18.865.112 0001 - 70</vt:lpstr>
      <vt:lpstr>SJC - 07.043.084 0001-90</vt:lpstr>
      <vt:lpstr>CM - 50.796.677 0001-56</vt:lpstr>
      <vt:lpstr>CENTRO - 17.706.901 0001-04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2026-02-04T13:42:44Z</dcterms:created>
  <dcterms:modified xsi:type="dcterms:W3CDTF">2026-02-06T11:50:41Z</dcterms:modified>
</cp:coreProperties>
</file>